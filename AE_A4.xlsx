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CA\Assignments\SYMCA\Sem-3\AE\Assignment-1\"/>
    </mc:Choice>
  </mc:AlternateContent>
  <xr:revisionPtr revIDLastSave="0" documentId="13_ncr:1_{4281A44F-DB23-49D1-9C98-F3327D075FD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4_Budget_vs_Actual" sheetId="1" r:id="rId1"/>
    <sheet name="A4_Monthly_Trend" sheetId="2" r:id="rId2"/>
    <sheet name="IBC_Employee_Performance" sheetId="3" r:id="rId3"/>
    <sheet name="IBC_Sales_and_Geography" sheetId="4" r:id="rId4"/>
    <sheet name="IBC_Executive_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5" l="1"/>
  <c r="J13" i="5"/>
  <c r="I13" i="5"/>
  <c r="H13" i="5"/>
  <c r="C13" i="5"/>
  <c r="B13" i="5"/>
  <c r="K12" i="5"/>
  <c r="J12" i="5"/>
  <c r="I12" i="5"/>
  <c r="H12" i="5"/>
  <c r="C12" i="5"/>
  <c r="B12" i="5"/>
  <c r="K11" i="5"/>
  <c r="J11" i="5"/>
  <c r="I11" i="5"/>
  <c r="H11" i="5"/>
  <c r="C11" i="5"/>
  <c r="B11" i="5"/>
  <c r="K10" i="5"/>
  <c r="J10" i="5"/>
  <c r="I10" i="5"/>
  <c r="H10" i="5"/>
  <c r="C10" i="5"/>
  <c r="B10" i="5"/>
  <c r="K9" i="5"/>
  <c r="J9" i="5"/>
  <c r="I9" i="5"/>
  <c r="H9" i="5"/>
  <c r="C9" i="5"/>
  <c r="B9" i="5"/>
  <c r="H33" i="4"/>
  <c r="D33" i="4"/>
  <c r="I32" i="4"/>
  <c r="H32" i="4"/>
  <c r="I31" i="4"/>
  <c r="H31" i="4"/>
  <c r="I30" i="4"/>
  <c r="I33" i="4" s="1"/>
  <c r="I5" i="5" s="1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J19" i="4"/>
  <c r="I19" i="4"/>
  <c r="G19" i="4"/>
  <c r="F19" i="4"/>
  <c r="E19" i="4"/>
  <c r="D19" i="4"/>
  <c r="J18" i="4"/>
  <c r="H18" i="4"/>
  <c r="J17" i="4"/>
  <c r="H17" i="4"/>
  <c r="J16" i="4"/>
  <c r="H16" i="4"/>
  <c r="J15" i="4"/>
  <c r="H15" i="4"/>
  <c r="J14" i="4"/>
  <c r="H14" i="4"/>
  <c r="J13" i="4"/>
  <c r="H13" i="4"/>
  <c r="J12" i="4"/>
  <c r="H12" i="4"/>
  <c r="J11" i="4"/>
  <c r="H11" i="4"/>
  <c r="J10" i="4"/>
  <c r="H10" i="4"/>
  <c r="J9" i="4"/>
  <c r="H9" i="4"/>
  <c r="I24" i="3"/>
  <c r="H24" i="3"/>
  <c r="F24" i="3"/>
  <c r="G24" i="3" s="1"/>
  <c r="E24" i="3"/>
  <c r="J23" i="3"/>
  <c r="K23" i="3" s="1"/>
  <c r="L23" i="3" s="1"/>
  <c r="G23" i="3"/>
  <c r="J22" i="3"/>
  <c r="K22" i="3" s="1"/>
  <c r="L22" i="3" s="1"/>
  <c r="G22" i="3"/>
  <c r="J21" i="3"/>
  <c r="K21" i="3" s="1"/>
  <c r="L21" i="3" s="1"/>
  <c r="G21" i="3"/>
  <c r="J20" i="3"/>
  <c r="K20" i="3" s="1"/>
  <c r="L20" i="3" s="1"/>
  <c r="G20" i="3"/>
  <c r="G19" i="3"/>
  <c r="G18" i="3"/>
  <c r="J18" i="3" s="1"/>
  <c r="K18" i="3" s="1"/>
  <c r="L18" i="3" s="1"/>
  <c r="G17" i="3"/>
  <c r="J17" i="3" s="1"/>
  <c r="K17" i="3" s="1"/>
  <c r="L17" i="3" s="1"/>
  <c r="G16" i="3"/>
  <c r="J16" i="3" s="1"/>
  <c r="K16" i="3" s="1"/>
  <c r="L16" i="3" s="1"/>
  <c r="J15" i="3"/>
  <c r="K15" i="3" s="1"/>
  <c r="G15" i="3"/>
  <c r="D11" i="5" s="1"/>
  <c r="G14" i="3"/>
  <c r="J14" i="3" s="1"/>
  <c r="K14" i="3" s="1"/>
  <c r="L14" i="3" s="1"/>
  <c r="G13" i="3"/>
  <c r="G12" i="3"/>
  <c r="J12" i="3" s="1"/>
  <c r="K12" i="3" s="1"/>
  <c r="L12" i="3" s="1"/>
  <c r="G11" i="3"/>
  <c r="J11" i="3" s="1"/>
  <c r="K11" i="3" s="1"/>
  <c r="L11" i="3" s="1"/>
  <c r="G10" i="3"/>
  <c r="G9" i="3"/>
  <c r="C5" i="3"/>
  <c r="A5" i="3"/>
  <c r="G14" i="2"/>
  <c r="G15" i="2" s="1"/>
  <c r="G16" i="2" s="1"/>
  <c r="F14" i="2"/>
  <c r="F15" i="2" s="1"/>
  <c r="F16" i="2" s="1"/>
  <c r="E14" i="2"/>
  <c r="E15" i="2" s="1"/>
  <c r="E16" i="2" s="1"/>
  <c r="D14" i="2"/>
  <c r="D15" i="2" s="1"/>
  <c r="D16" i="2" s="1"/>
  <c r="C14" i="2"/>
  <c r="C15" i="2" s="1"/>
  <c r="C16" i="2" s="1"/>
  <c r="B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H14" i="2" s="1"/>
  <c r="I6" i="2"/>
  <c r="H6" i="2"/>
  <c r="H15" i="2" s="1"/>
  <c r="H16" i="2" s="1"/>
  <c r="C24" i="1"/>
  <c r="B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C11" i="1"/>
  <c r="B11" i="1"/>
  <c r="B28" i="1" s="1"/>
  <c r="D10" i="1"/>
  <c r="D9" i="1"/>
  <c r="D8" i="1"/>
  <c r="D7" i="1"/>
  <c r="D6" i="1"/>
  <c r="A5" i="5" l="1"/>
  <c r="H19" i="4"/>
  <c r="D10" i="5"/>
  <c r="J19" i="3"/>
  <c r="K19" i="3" s="1"/>
  <c r="E11" i="5"/>
  <c r="L15" i="3"/>
  <c r="E5" i="3"/>
  <c r="D13" i="5"/>
  <c r="J13" i="3"/>
  <c r="K13" i="3" s="1"/>
  <c r="J10" i="3"/>
  <c r="K10" i="3" s="1"/>
  <c r="D9" i="5"/>
  <c r="J9" i="3"/>
  <c r="D12" i="5"/>
  <c r="I14" i="2"/>
  <c r="B15" i="2"/>
  <c r="F24" i="1"/>
  <c r="C29" i="1"/>
  <c r="E29" i="1"/>
  <c r="E24" i="1"/>
  <c r="D24" i="1"/>
  <c r="B29" i="1"/>
  <c r="B30" i="1" s="1"/>
  <c r="B31" i="1" s="1"/>
  <c r="D29" i="1"/>
  <c r="D11" i="1"/>
  <c r="C28" i="1"/>
  <c r="C30" i="1" s="1"/>
  <c r="D28" i="1"/>
  <c r="E28" i="1"/>
  <c r="F10" i="1"/>
  <c r="E10" i="1"/>
  <c r="F9" i="1"/>
  <c r="E9" i="1"/>
  <c r="F8" i="1"/>
  <c r="E8" i="1"/>
  <c r="F7" i="1"/>
  <c r="E7" i="1"/>
  <c r="F6" i="1"/>
  <c r="E6" i="1"/>
  <c r="L19" i="3" l="1"/>
  <c r="E10" i="5"/>
  <c r="L13" i="3"/>
  <c r="E13" i="5"/>
  <c r="L10" i="3"/>
  <c r="E9" i="5"/>
  <c r="K9" i="3"/>
  <c r="J24" i="3"/>
  <c r="I15" i="2"/>
  <c r="I16" i="2" s="1"/>
  <c r="B16" i="2"/>
  <c r="F11" i="1"/>
  <c r="E11" i="1"/>
  <c r="E30" i="1"/>
  <c r="D30" i="1"/>
  <c r="C31" i="1"/>
  <c r="L9" i="3" l="1"/>
  <c r="E12" i="5"/>
  <c r="K24" i="3"/>
  <c r="G5" i="3"/>
  <c r="E5" i="5" s="1"/>
  <c r="D31" i="1"/>
  <c r="E31" i="1"/>
  <c r="L24" i="3" l="1"/>
  <c r="I5" i="3"/>
  <c r="G5" i="5" s="1"/>
</calcChain>
</file>

<file path=xl/sharedStrings.xml><?xml version="1.0" encoding="utf-8"?>
<sst xmlns="http://schemas.openxmlformats.org/spreadsheetml/2006/main" count="252" uniqueCount="207">
  <si>
    <t>Assignment 4: Financial Data Analysis &amp; Budget Planner Case — FY 2025-26 Monthly Financial Summary (in INR ₹)</t>
  </si>
  <si>
    <t>1. MONTHLY INCOME SUMMARY (ACTUAL VS. BUDGET)</t>
  </si>
  <si>
    <t>Income Category</t>
  </si>
  <si>
    <t>Budgeted Income (₹)</t>
  </si>
  <si>
    <t>Actual Income (₹)</t>
  </si>
  <si>
    <t>Variance (₹)</t>
  </si>
  <si>
    <t>Variance %</t>
  </si>
  <si>
    <t>Status</t>
  </si>
  <si>
    <t>Software Services &amp; IT Consulting</t>
  </si>
  <si>
    <t>Retail Store Sales (Pune &amp; Mumbai)</t>
  </si>
  <si>
    <t>Annual Maintenance Contracts (AMC)</t>
  </si>
  <si>
    <t>Corporate Training &amp; Workshops</t>
  </si>
  <si>
    <t>Interest Income &amp; Fixed Deposits</t>
  </si>
  <si>
    <t>Total Monthly Income</t>
  </si>
  <si>
    <t>2. MONTHLY OPERATING EXPENDITURE (ACTUAL VS. BUDGET)</t>
  </si>
  <si>
    <t>Expense Category</t>
  </si>
  <si>
    <t>Budgeted Expense (₹)</t>
  </si>
  <si>
    <t>Actual Expense (₹)</t>
  </si>
  <si>
    <t>Variance / Saving (₹)</t>
  </si>
  <si>
    <t>Budget Status</t>
  </si>
  <si>
    <t>Employee Salaries &amp; Staff Benefits</t>
  </si>
  <si>
    <t>Office Rent &amp; Commercial Premises Lease</t>
  </si>
  <si>
    <t>Marketing, Digital Ads &amp; Branding</t>
  </si>
  <si>
    <t>Client Travel &amp; Business Promotion</t>
  </si>
  <si>
    <t>Electricity, Water &amp; Utilities</t>
  </si>
  <si>
    <t>Software Licenses &amp; IT Cloud Infrastructure</t>
  </si>
  <si>
    <t>Accounting, GST Compliance &amp; Legal Fees</t>
  </si>
  <si>
    <t>Logistics &amp; Local Conveyance</t>
  </si>
  <si>
    <t>Office Supplies &amp; Miscellaneous Expenses</t>
  </si>
  <si>
    <t>Total Operating Expenditure</t>
  </si>
  <si>
    <t>3. EXECUTIVE FINANCIAL PERFORMANCE SUMMARY &amp; NET MARGIN</t>
  </si>
  <si>
    <t>Financial Metric</t>
  </si>
  <si>
    <t>Budgeted / Target (₹)</t>
  </si>
  <si>
    <t>Actual Performance (₹)</t>
  </si>
  <si>
    <t>Net Variance (₹)</t>
  </si>
  <si>
    <t>Performance Ratio / Status</t>
  </si>
  <si>
    <t>Total Operating Revenue / Income</t>
  </si>
  <si>
    <t>Net Monthly Profit / Savings</t>
  </si>
  <si>
    <t>Operating Savings Margin %</t>
  </si>
  <si>
    <t>Assignment 4: Historical Income vs. Expenditure Tracking &amp; Margin Analysis (Jan 2026 - Jun 2026)</t>
  </si>
  <si>
    <t>Financial Metric (INR ₹)</t>
  </si>
  <si>
    <t>Jan-26</t>
  </si>
  <si>
    <t>Feb-26</t>
  </si>
  <si>
    <t>Mar-26</t>
  </si>
  <si>
    <t>Apr-26</t>
  </si>
  <si>
    <t>May-26</t>
  </si>
  <si>
    <t>Jun-26</t>
  </si>
  <si>
    <t>6-Month Total</t>
  </si>
  <si>
    <t>Monthly Average</t>
  </si>
  <si>
    <t>Total Income / Revenue</t>
  </si>
  <si>
    <t>Salaries &amp; Staff Costs</t>
  </si>
  <si>
    <t>Office Rent &amp; Premises Lease</t>
  </si>
  <si>
    <t>Marketing &amp; Promotions</t>
  </si>
  <si>
    <t>Travel &amp; Client Visits</t>
  </si>
  <si>
    <t>Utilities &amp; Maintenance</t>
  </si>
  <si>
    <t>Software &amp; IT Infrastructure</t>
  </si>
  <si>
    <t>Other Operational Expenses</t>
  </si>
  <si>
    <t>Net Savings Margin %</t>
  </si>
  <si>
    <t>Integrated Business Case: Employee Performance Scoring, Sales Quota Attainment &amp; Bonus Calculation</t>
  </si>
  <si>
    <t>Total Sales Target (₹)</t>
  </si>
  <si>
    <t>Total Sales Achieved (₹)</t>
  </si>
  <si>
    <t>Avg Target Attainment</t>
  </si>
  <si>
    <t>Top Performers Count</t>
  </si>
  <si>
    <t>Total Performance Bonus (₹)</t>
  </si>
  <si>
    <t>EMPLOYEE PERFORMANCE SCORECARD &amp; BONUS EVALUATION (FY 2025-26 - Q3)</t>
  </si>
  <si>
    <t>Emp ID</t>
  </si>
  <si>
    <t>Employee Name (India)</t>
  </si>
  <si>
    <t>Department / Vertical</t>
  </si>
  <si>
    <t>Base Location (City)</t>
  </si>
  <si>
    <t>Monthly Target (₹)</t>
  </si>
  <si>
    <t>Sales Achieved (₹)</t>
  </si>
  <si>
    <t>Attainment %</t>
  </si>
  <si>
    <t>CSAT Score (10)</t>
  </si>
  <si>
    <t>Manager Rating (10)</t>
  </si>
  <si>
    <t>Composite Score (100)</t>
  </si>
  <si>
    <t>Performance Band</t>
  </si>
  <si>
    <t>Incentive Bonus (₹)</t>
  </si>
  <si>
    <t>EMP-101</t>
  </si>
  <si>
    <t>Aarav Sharma</t>
  </si>
  <si>
    <t>Enterprise Retail</t>
  </si>
  <si>
    <t>Mumbai</t>
  </si>
  <si>
    <t>EMP-102</t>
  </si>
  <si>
    <t>Priya Nair</t>
  </si>
  <si>
    <t>Key Accounts</t>
  </si>
  <si>
    <t>Bengaluru</t>
  </si>
  <si>
    <t>EMP-103</t>
  </si>
  <si>
    <t>Rohan Mehta</t>
  </si>
  <si>
    <t>B2B Sales</t>
  </si>
  <si>
    <t>Pune</t>
  </si>
  <si>
    <t>EMP-104</t>
  </si>
  <si>
    <t>Neha Kulkarni</t>
  </si>
  <si>
    <t>Regional Retail</t>
  </si>
  <si>
    <t>EMP-105</t>
  </si>
  <si>
    <t>Aditya Verma</t>
  </si>
  <si>
    <t>Delhi</t>
  </si>
  <si>
    <t>EMP-106</t>
  </si>
  <si>
    <t>Vikram Deshmukh</t>
  </si>
  <si>
    <t>EMP-107</t>
  </si>
  <si>
    <t>Pooja Iyer</t>
  </si>
  <si>
    <t>Chennai</t>
  </si>
  <si>
    <t>EMP-108</t>
  </si>
  <si>
    <t>Sneha Patil</t>
  </si>
  <si>
    <t>Hyderabad</t>
  </si>
  <si>
    <t>EMP-109</t>
  </si>
  <si>
    <t>Amit Kulkarni</t>
  </si>
  <si>
    <t>Ahmedabad</t>
  </si>
  <si>
    <t>EMP-110</t>
  </si>
  <si>
    <t>Anjali Deshmukh</t>
  </si>
  <si>
    <t>Kolkata</t>
  </si>
  <si>
    <t>EMP-111</t>
  </si>
  <si>
    <t>Karthik Rajan</t>
  </si>
  <si>
    <t>EMP-112</t>
  </si>
  <si>
    <t>Divya Joshi</t>
  </si>
  <si>
    <t>Jaipur</t>
  </si>
  <si>
    <t>EMP-113</t>
  </si>
  <si>
    <t>Suresh Nair</t>
  </si>
  <si>
    <t>Surat</t>
  </si>
  <si>
    <t>EMP-114</t>
  </si>
  <si>
    <t>Manish Patel</t>
  </si>
  <si>
    <t>EMP-115</t>
  </si>
  <si>
    <t>Tanvi Rao</t>
  </si>
  <si>
    <t>Total / Average</t>
  </si>
  <si>
    <t>Integrated Business Case: Geography Data Type Enrichment, Regional Revenue Ranking &amp; Inventory Replenishment Monitor</t>
  </si>
  <si>
    <t>📌 EXCEL AI-POWERED GEOGRAPHY DATA TYPE ENRICHMENT NOTE:</t>
  </si>
  <si>
    <t>In Microsoft Excel, selecting Indian City names and clicking 'Data &gt; Geography' converts text into AI-linked data types. The columns below (State / UT, City Tier, Population, Administrative Region) model the live metadata pulled from Excel's Bing/AI Knowledge Graph to enrich sales analytics without manual external lookups.</t>
  </si>
  <si>
    <t>1. REGIONAL RETAIL PERFORMANCE &amp; GEOGRAPHY DATA ENRICHMENT (INDIA)</t>
  </si>
  <si>
    <t>City [AI Geography]</t>
  </si>
  <si>
    <t>State / UT [Enriched]</t>
  </si>
  <si>
    <t>City Tier [Enriched]</t>
  </si>
  <si>
    <t>Population (Lakhs) [AI]</t>
  </si>
  <si>
    <t>Active Retail Stores</t>
  </si>
  <si>
    <t>Monthly Units Sold</t>
  </si>
  <si>
    <t>Monthly Revenue (₹)</t>
  </si>
  <si>
    <t>Avg Store Revenue (₹)</t>
  </si>
  <si>
    <t>YoY Growth %</t>
  </si>
  <si>
    <t>Regional Growth Status</t>
  </si>
  <si>
    <t>Maharashtra</t>
  </si>
  <si>
    <t>Tier 1</t>
  </si>
  <si>
    <t>Delhi NCR</t>
  </si>
  <si>
    <t>Karnataka</t>
  </si>
  <si>
    <t>Telangana</t>
  </si>
  <si>
    <t>Tamil Nadu</t>
  </si>
  <si>
    <t>Gujarat</t>
  </si>
  <si>
    <t>West Bengal</t>
  </si>
  <si>
    <t>Rajasthan</t>
  </si>
  <si>
    <t>Tier 2</t>
  </si>
  <si>
    <t>National Retail Total / Avg</t>
  </si>
  <si>
    <t>2. AI RETAIL INVENTORY MONITOR &amp; LOW-STOCK REORDER ALERT SYSTEM</t>
  </si>
  <si>
    <t>SKU Code</t>
  </si>
  <si>
    <t>Indian Product Description</t>
  </si>
  <si>
    <t>Category / Artisan Craft</t>
  </si>
  <si>
    <t>Current Stock (Units)</t>
  </si>
  <si>
    <t>Reorder Threshold</t>
  </si>
  <si>
    <t>Economic Order Qty (EOQ)</t>
  </si>
  <si>
    <t>Unit Price (₹)</t>
  </si>
  <si>
    <t>Total Inventory Value (₹)</t>
  </si>
  <si>
    <t>Replenishment Status Alert</t>
  </si>
  <si>
    <t>SKU-501</t>
  </si>
  <si>
    <t>Kanchipuram Pure Silk Saree</t>
  </si>
  <si>
    <t>Traditional Apparel</t>
  </si>
  <si>
    <t>SKU-502</t>
  </si>
  <si>
    <t>Handwoven Pashmina Wool Shawl</t>
  </si>
  <si>
    <t>Luxury Accessories</t>
  </si>
  <si>
    <t>SKU-503</t>
  </si>
  <si>
    <t>Chanderi Cotton Silk Kurta Set</t>
  </si>
  <si>
    <t>Women's Ethnic</t>
  </si>
  <si>
    <t>SKU-504</t>
  </si>
  <si>
    <t>Kolhapuri Handcrafted Leather Footwear</t>
  </si>
  <si>
    <t>Footwear &amp; Craft</t>
  </si>
  <si>
    <t>SKU-505</t>
  </si>
  <si>
    <t>Thanjavur Brass Puja Lamp (Diyas)</t>
  </si>
  <si>
    <t>Home &amp; Heritage</t>
  </si>
  <si>
    <t>SKU-506</t>
  </si>
  <si>
    <t>Organic Assam &amp; Darjeeling Masala Chai</t>
  </si>
  <si>
    <t>Gourmet Beverages</t>
  </si>
  <si>
    <t>SKU-507</t>
  </si>
  <si>
    <t>Ayurvedic Herbal Skincare Gift Box</t>
  </si>
  <si>
    <t>Wellness &amp; Care</t>
  </si>
  <si>
    <t>SKU-508</t>
  </si>
  <si>
    <t>Pure Copper Seamless Water Bottle (1L)</t>
  </si>
  <si>
    <t>Eco Home Ware</t>
  </si>
  <si>
    <t>SKU-509</t>
  </si>
  <si>
    <t>Jaipuri Block-Print Double Bedspread</t>
  </si>
  <si>
    <t>Home Furnishings</t>
  </si>
  <si>
    <t>SKU-510</t>
  </si>
  <si>
    <t>Terracotta Handcrafted Cookware Set</t>
  </si>
  <si>
    <t>Artisanal Kitchen</t>
  </si>
  <si>
    <t>Total Inventory Value &amp; Alerts</t>
  </si>
  <si>
    <t>Integrated Business Case: Consolidated Performance, Sales Geography Ranking &amp; Critical Inventory Scorecard</t>
  </si>
  <si>
    <t>Total Pan-India Retail Revenue</t>
  </si>
  <si>
    <t>Top Sales Performing City</t>
  </si>
  <si>
    <t>HR Performance Top Performers</t>
  </si>
  <si>
    <t>Total Employee Performance Bonus</t>
  </si>
  <si>
    <t>Critical Stock Alerts (Reorder Now)</t>
  </si>
  <si>
    <t>Delhi NCR (₹3.85 Cr)</t>
  </si>
  <si>
    <t>TOP 5 RETAIL &amp; KEY ACCOUNT PERFORMERS (INDIA)</t>
  </si>
  <si>
    <t>TOP 5 BEST-SELLING RETAIL CITIES BY REVENUE (₹ INR)</t>
  </si>
  <si>
    <t>Rank</t>
  </si>
  <si>
    <t>Employee Name</t>
  </si>
  <si>
    <t>Base City</t>
  </si>
  <si>
    <t>City</t>
  </si>
  <si>
    <t>State / UT</t>
  </si>
  <si>
    <t>VEDIC TECHNOLOGIES &amp; RETAIL SOLUTIONS PVT. LTD. - PUNE, MAHARASHTRA</t>
  </si>
  <si>
    <t>VEDIC TECHNOLOGIES &amp; RETAIL SOLUTIONS PVT. LTD. - 6-MONTH FINANCIAL TREND ANALYSIS</t>
  </si>
  <si>
    <t>AARAV RETAIL &amp; LIFESTYLE INDIA LTD. - NATIONAL HR &amp; SALES MANAGEMENT</t>
  </si>
  <si>
    <t>AARAV RETAIL &amp; LIFESTYLE INDIA LTD. - REGIONAL SALES &amp; AI GEOGRAPHY DATA ENRICHMENT</t>
  </si>
  <si>
    <t>AARAV RETAIL &amp; LIFESTYLE INDIA LTD. - EXECUTIVE DECISION-MAKING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</si>
</sst>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\₹#,##0;[Red]\(\₹#,##0\);\₹0"/>
    <numFmt numFmtId="166" formatCode="0.0%"/>
    <numFmt numFmtId="167" formatCode="0.0%;[Red]\-0.0%;0.0%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color rgb="FF595959"/>
      <name val="Calibri"/>
    </font>
    <font>
      <b/>
      <sz val="10"/>
      <color rgb="FF37562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E9EDF4"/>
        <bgColor rgb="FFE9EDF4"/>
      </patternFill>
    </fill>
    <fill>
      <patternFill patternType="solid">
        <fgColor rgb="FF2F5597"/>
        <bgColor rgb="FF2F5597"/>
      </patternFill>
    </fill>
    <fill>
      <patternFill patternType="solid">
        <fgColor rgb="FF16363C"/>
        <bgColor rgb="FF16363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80808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164" fontId="6" fillId="4" borderId="2" xfId="0" applyNumberFormat="1" applyFont="1" applyFill="1" applyBorder="1"/>
    <xf numFmtId="165" fontId="6" fillId="4" borderId="2" xfId="0" applyNumberFormat="1" applyFont="1" applyFill="1" applyBorder="1"/>
    <xf numFmtId="166" fontId="6" fillId="4" borderId="2" xfId="0" applyNumberFormat="1" applyFont="1" applyFill="1" applyBorder="1"/>
    <xf numFmtId="0" fontId="6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6" fillId="7" borderId="1" xfId="0" applyFont="1" applyFill="1" applyBorder="1"/>
    <xf numFmtId="164" fontId="6" fillId="7" borderId="1" xfId="0" applyNumberFormat="1" applyFont="1" applyFill="1" applyBorder="1"/>
    <xf numFmtId="165" fontId="6" fillId="7" borderId="1" xfId="0" applyNumberFormat="1" applyFont="1" applyFill="1" applyBorder="1"/>
    <xf numFmtId="0" fontId="6" fillId="7" borderId="1" xfId="0" applyFont="1" applyFill="1" applyBorder="1" applyAlignment="1">
      <alignment horizontal="center" vertical="center"/>
    </xf>
    <xf numFmtId="166" fontId="0" fillId="0" borderId="1" xfId="0" applyNumberFormat="1" applyBorder="1"/>
    <xf numFmtId="167" fontId="0" fillId="0" borderId="1" xfId="0" applyNumberFormat="1" applyBorder="1"/>
    <xf numFmtId="0" fontId="5" fillId="0" borderId="0" xfId="0" applyFont="1" applyAlignment="1">
      <alignment horizontal="left" vertical="center"/>
    </xf>
    <xf numFmtId="164" fontId="6" fillId="0" borderId="1" xfId="0" applyNumberFormat="1" applyFont="1" applyBorder="1"/>
    <xf numFmtId="0" fontId="6" fillId="0" borderId="0" xfId="0" applyFont="1"/>
    <xf numFmtId="165" fontId="6" fillId="7" borderId="2" xfId="0" applyNumberFormat="1" applyFont="1" applyFill="1" applyBorder="1"/>
    <xf numFmtId="166" fontId="6" fillId="7" borderId="2" xfId="0" applyNumberFormat="1" applyFont="1" applyFill="1" applyBorder="1"/>
    <xf numFmtId="0" fontId="7" fillId="0" borderId="0" xfId="0" applyFont="1"/>
    <xf numFmtId="164" fontId="3" fillId="7" borderId="1" xfId="0" applyNumberFormat="1" applyFont="1" applyFill="1" applyBorder="1"/>
    <xf numFmtId="0" fontId="3" fillId="7" borderId="1" xfId="0" applyFont="1" applyFill="1" applyBorder="1"/>
    <xf numFmtId="166" fontId="3" fillId="7" borderId="1" xfId="0" applyNumberFormat="1" applyFont="1" applyFill="1" applyBorder="1"/>
    <xf numFmtId="1" fontId="3" fillId="7" borderId="1" xfId="0" applyNumberFormat="1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/>
    <xf numFmtId="166" fontId="0" fillId="3" borderId="1" xfId="0" applyNumberFormat="1" applyFill="1" applyBorder="1"/>
    <xf numFmtId="168" fontId="0" fillId="3" borderId="1" xfId="0" applyNumberFormat="1" applyFill="1" applyBorder="1"/>
    <xf numFmtId="0" fontId="0" fillId="0" borderId="1" xfId="0" applyBorder="1" applyAlignment="1">
      <alignment horizontal="left" vertical="center"/>
    </xf>
    <xf numFmtId="168" fontId="0" fillId="0" borderId="1" xfId="0" applyNumberFormat="1" applyBorder="1"/>
    <xf numFmtId="168" fontId="6" fillId="4" borderId="2" xfId="0" applyNumberFormat="1" applyFont="1" applyFill="1" applyBorder="1"/>
    <xf numFmtId="3" fontId="0" fillId="3" borderId="1" xfId="0" applyNumberFormat="1" applyFill="1" applyBorder="1"/>
    <xf numFmtId="3" fontId="0" fillId="0" borderId="1" xfId="0" applyNumberFormat="1" applyBorder="1"/>
    <xf numFmtId="3" fontId="6" fillId="4" borderId="2" xfId="0" applyNumberFormat="1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0" fontId="5" fillId="3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7" fillId="0" borderId="0" xfId="0" applyFont="1"/>
    <xf numFmtId="0" fontId="0" fillId="0" borderId="0" xfId="0"/>
    <xf numFmtId="0" fontId="7" fillId="7" borderId="1" xfId="0" applyFont="1" applyFill="1" applyBorder="1"/>
    <xf numFmtId="0" fontId="0" fillId="7" borderId="1" xfId="0" applyFill="1" applyBorder="1"/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sz val="10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0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C00000"/>
        <name val="Calibri"/>
      </font>
      <fill>
        <patternFill patternType="solid">
          <fgColor rgb="FFF8CBAD"/>
          <bgColor rgb="FFF8CBAD"/>
        </patternFill>
      </fill>
    </dxf>
    <dxf>
      <font>
        <b/>
        <sz val="10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0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sz val="10"/>
        <color rgb="FF375623"/>
        <name val="Calibri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Operating Expenses: Budgeted vs. Actual (₹ INR)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A4_Budget_vs_Actual!$B$14</c:f>
              <c:strCache>
                <c:ptCount val="1"/>
                <c:pt idx="0">
                  <c:v>Budgeted Expense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A4_Budget_vs_Actual!$A$15:$A$23</c:f>
              <c:strCache>
                <c:ptCount val="9"/>
                <c:pt idx="0">
                  <c:v>Employee Salaries &amp; Staff Benefits</c:v>
                </c:pt>
                <c:pt idx="1">
                  <c:v>Office Rent &amp; Commercial Premises Lease</c:v>
                </c:pt>
                <c:pt idx="2">
                  <c:v>Marketing, Digital Ads &amp; Branding</c:v>
                </c:pt>
                <c:pt idx="3">
                  <c:v>Client Travel &amp; Business Promotion</c:v>
                </c:pt>
                <c:pt idx="4">
                  <c:v>Electricity, Water &amp; Utilities</c:v>
                </c:pt>
                <c:pt idx="5">
                  <c:v>Software Licenses &amp; IT Cloud Infrastructure</c:v>
                </c:pt>
                <c:pt idx="6">
                  <c:v>Accounting, GST Compliance &amp; Legal Fees</c:v>
                </c:pt>
                <c:pt idx="7">
                  <c:v>Logistics &amp; Local Conveyance</c:v>
                </c:pt>
                <c:pt idx="8">
                  <c:v>Office Supplies &amp; Miscellaneous Expenses</c:v>
                </c:pt>
              </c:strCache>
            </c:strRef>
          </c:cat>
          <c:val>
            <c:numRef>
              <c:f>A4_Budget_vs_Actual!$B$15:$B$23</c:f>
              <c:numCache>
                <c:formatCode>\₹#,##0</c:formatCode>
                <c:ptCount val="9"/>
                <c:pt idx="0">
                  <c:v>420000</c:v>
                </c:pt>
                <c:pt idx="1">
                  <c:v>110000</c:v>
                </c:pt>
                <c:pt idx="2">
                  <c:v>85000</c:v>
                </c:pt>
                <c:pt idx="3">
                  <c:v>45000</c:v>
                </c:pt>
                <c:pt idx="4">
                  <c:v>28000</c:v>
                </c:pt>
                <c:pt idx="5">
                  <c:v>55000</c:v>
                </c:pt>
                <c:pt idx="6">
                  <c:v>22000</c:v>
                </c:pt>
                <c:pt idx="7">
                  <c:v>35000</c:v>
                </c:pt>
                <c:pt idx="8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D-4BEE-B10E-B17B482CF850}"/>
            </c:ext>
          </c:extLst>
        </c:ser>
        <c:ser>
          <c:idx val="1"/>
          <c:order val="1"/>
          <c:tx>
            <c:strRef>
              <c:f>A4_Budget_vs_Actual!$C$14</c:f>
              <c:strCache>
                <c:ptCount val="1"/>
                <c:pt idx="0">
                  <c:v>Actual Expense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A4_Budget_vs_Actual!$A$15:$A$23</c:f>
              <c:strCache>
                <c:ptCount val="9"/>
                <c:pt idx="0">
                  <c:v>Employee Salaries &amp; Staff Benefits</c:v>
                </c:pt>
                <c:pt idx="1">
                  <c:v>Office Rent &amp; Commercial Premises Lease</c:v>
                </c:pt>
                <c:pt idx="2">
                  <c:v>Marketing, Digital Ads &amp; Branding</c:v>
                </c:pt>
                <c:pt idx="3">
                  <c:v>Client Travel &amp; Business Promotion</c:v>
                </c:pt>
                <c:pt idx="4">
                  <c:v>Electricity, Water &amp; Utilities</c:v>
                </c:pt>
                <c:pt idx="5">
                  <c:v>Software Licenses &amp; IT Cloud Infrastructure</c:v>
                </c:pt>
                <c:pt idx="6">
                  <c:v>Accounting, GST Compliance &amp; Legal Fees</c:v>
                </c:pt>
                <c:pt idx="7">
                  <c:v>Logistics &amp; Local Conveyance</c:v>
                </c:pt>
                <c:pt idx="8">
                  <c:v>Office Supplies &amp; Miscellaneous Expenses</c:v>
                </c:pt>
              </c:strCache>
            </c:strRef>
          </c:cat>
          <c:val>
            <c:numRef>
              <c:f>A4_Budget_vs_Actual!$C$15:$C$23</c:f>
              <c:numCache>
                <c:formatCode>\₹#,##0</c:formatCode>
                <c:ptCount val="9"/>
                <c:pt idx="0">
                  <c:v>428000</c:v>
                </c:pt>
                <c:pt idx="1">
                  <c:v>110000</c:v>
                </c:pt>
                <c:pt idx="2">
                  <c:v>98500</c:v>
                </c:pt>
                <c:pt idx="3">
                  <c:v>39000</c:v>
                </c:pt>
                <c:pt idx="4">
                  <c:v>31200</c:v>
                </c:pt>
                <c:pt idx="5">
                  <c:v>52000</c:v>
                </c:pt>
                <c:pt idx="6">
                  <c:v>22000</c:v>
                </c:pt>
                <c:pt idx="7">
                  <c:v>38500</c:v>
                </c:pt>
                <c:pt idx="8">
                  <c:v>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D-4BEE-B10E-B17B482CF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Expense Categories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Expenditure in INR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6-Month Financial Trend: Income vs. Expenditure vs. Net Profit (₹ INR)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A4_Monthly_Trend!$B$5:$G$5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A4_Monthly_Trend!$B$6:$G$6</c:f>
              <c:numCache>
                <c:formatCode>\₹#,##0</c:formatCode>
                <c:ptCount val="6"/>
                <c:pt idx="0">
                  <c:v>1080000</c:v>
                </c:pt>
                <c:pt idx="1">
                  <c:v>1150000</c:v>
                </c:pt>
                <c:pt idx="2">
                  <c:v>1220000</c:v>
                </c:pt>
                <c:pt idx="3">
                  <c:v>1168500</c:v>
                </c:pt>
                <c:pt idx="4">
                  <c:v>1250000</c:v>
                </c:pt>
                <c:pt idx="5">
                  <c:v>1310000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55-449D-BC46-83A98BCE6FAF}"/>
            </c:ext>
          </c:extLst>
        </c:ser>
        <c:ser>
          <c:idx val="1"/>
          <c:order val="1"/>
          <c:tx>
            <c:v>Total Expenditure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A4_Monthly_Trend!$B$5:$G$5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A4_Monthly_Trend!$B$14:$G$14</c:f>
              <c:numCache>
                <c:formatCode>\₹#,##0</c:formatCode>
                <c:ptCount val="6"/>
                <c:pt idx="0">
                  <c:v>762000</c:v>
                </c:pt>
                <c:pt idx="1">
                  <c:v>787000</c:v>
                </c:pt>
                <c:pt idx="2">
                  <c:v>817000</c:v>
                </c:pt>
                <c:pt idx="3">
                  <c:v>837600</c:v>
                </c:pt>
                <c:pt idx="4">
                  <c:v>825000</c:v>
                </c:pt>
                <c:pt idx="5">
                  <c:v>858500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5-449D-BC46-83A98BCE6FAF}"/>
            </c:ext>
          </c:extLst>
        </c:ser>
        <c:ser>
          <c:idx val="2"/>
          <c:order val="2"/>
          <c:tx>
            <c:v>Net Profit</c:v>
          </c:tx>
          <c:spPr>
            <a:ln>
              <a:prstDash val="solid"/>
            </a:ln>
          </c:spPr>
          <c:marker>
            <c:symbol val="none"/>
          </c:marker>
          <c:cat>
            <c:strRef>
              <c:f>A4_Monthly_Trend!$B$5:$G$5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A4_Monthly_Trend!$B$15:$G$15</c:f>
              <c:numCache>
                <c:formatCode>\₹#,##0;[Red]\(\₹#,##0\);\₹0</c:formatCode>
                <c:ptCount val="6"/>
                <c:pt idx="0">
                  <c:v>318000</c:v>
                </c:pt>
                <c:pt idx="1">
                  <c:v>363000</c:v>
                </c:pt>
                <c:pt idx="2">
                  <c:v>403000</c:v>
                </c:pt>
                <c:pt idx="3">
                  <c:v>330900</c:v>
                </c:pt>
                <c:pt idx="4">
                  <c:v>425000</c:v>
                </c:pt>
                <c:pt idx="5">
                  <c:v>451500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55-449D-BC46-83A98BCE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in INR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Sales Revenue by Indian City (₹ INR)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IBC_Sales_and_Geography!$G$8</c:f>
              <c:strCache>
                <c:ptCount val="1"/>
                <c:pt idx="0">
                  <c:v>Monthly Revenue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IBC_Sales_and_Geography!$A$9:$A$18</c:f>
              <c:strCache>
                <c:ptCount val="10"/>
                <c:pt idx="0">
                  <c:v>Mumbai</c:v>
                </c:pt>
                <c:pt idx="1">
                  <c:v>Delhi NCR</c:v>
                </c:pt>
                <c:pt idx="2">
                  <c:v>Bengaluru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  <c:pt idx="6">
                  <c:v>Ahmedabad</c:v>
                </c:pt>
                <c:pt idx="7">
                  <c:v>Kolkata</c:v>
                </c:pt>
                <c:pt idx="8">
                  <c:v>Jaipur</c:v>
                </c:pt>
                <c:pt idx="9">
                  <c:v>Surat</c:v>
                </c:pt>
              </c:strCache>
            </c:strRef>
          </c:cat>
          <c:val>
            <c:numRef>
              <c:f>IBC_Sales_and_Geography!$G$9:$G$18</c:f>
              <c:numCache>
                <c:formatCode>\₹#,##0</c:formatCode>
                <c:ptCount val="10"/>
                <c:pt idx="0">
                  <c:v>34800000</c:v>
                </c:pt>
                <c:pt idx="1">
                  <c:v>38500000</c:v>
                </c:pt>
                <c:pt idx="2">
                  <c:v>29600000</c:v>
                </c:pt>
                <c:pt idx="3">
                  <c:v>19500000</c:v>
                </c:pt>
                <c:pt idx="4">
                  <c:v>23200000</c:v>
                </c:pt>
                <c:pt idx="5">
                  <c:v>21800000</c:v>
                </c:pt>
                <c:pt idx="6">
                  <c:v>14200000</c:v>
                </c:pt>
                <c:pt idx="7">
                  <c:v>15800000</c:v>
                </c:pt>
                <c:pt idx="8">
                  <c:v>8900000</c:v>
                </c:pt>
                <c:pt idx="9">
                  <c:v>11200000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89-4FA7-A074-2C66A4771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Retail 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in INR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Employee Sales Target vs. Actual Attainment (₹ INR)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IBC_Employee_Performance!$E$8</c:f>
              <c:strCache>
                <c:ptCount val="1"/>
                <c:pt idx="0">
                  <c:v>Monthly Target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IBC_Employee_Performance!$B$9:$B$23</c:f>
              <c:strCache>
                <c:ptCount val="15"/>
                <c:pt idx="0">
                  <c:v>Aarav Sharma</c:v>
                </c:pt>
                <c:pt idx="1">
                  <c:v>Priya Nair</c:v>
                </c:pt>
                <c:pt idx="2">
                  <c:v>Rohan Mehta</c:v>
                </c:pt>
                <c:pt idx="3">
                  <c:v>Neha Kulkarni</c:v>
                </c:pt>
                <c:pt idx="4">
                  <c:v>Aditya Verma</c:v>
                </c:pt>
                <c:pt idx="5">
                  <c:v>Vikram Deshmukh</c:v>
                </c:pt>
                <c:pt idx="6">
                  <c:v>Pooja Iyer</c:v>
                </c:pt>
                <c:pt idx="7">
                  <c:v>Sneha Patil</c:v>
                </c:pt>
                <c:pt idx="8">
                  <c:v>Amit Kulkarni</c:v>
                </c:pt>
                <c:pt idx="9">
                  <c:v>Anjali Deshmukh</c:v>
                </c:pt>
                <c:pt idx="10">
                  <c:v>Karthik Rajan</c:v>
                </c:pt>
                <c:pt idx="11">
                  <c:v>Divya Joshi</c:v>
                </c:pt>
                <c:pt idx="12">
                  <c:v>Suresh Nair</c:v>
                </c:pt>
                <c:pt idx="13">
                  <c:v>Manish Patel</c:v>
                </c:pt>
                <c:pt idx="14">
                  <c:v>Tanvi Rao</c:v>
                </c:pt>
              </c:strCache>
            </c:strRef>
          </c:cat>
          <c:val>
            <c:numRef>
              <c:f>IBC_Employee_Performance!$E$9:$E$23</c:f>
              <c:numCache>
                <c:formatCode>\₹#,##0</c:formatCode>
                <c:ptCount val="15"/>
                <c:pt idx="0">
                  <c:v>1200000</c:v>
                </c:pt>
                <c:pt idx="1">
                  <c:v>1000000</c:v>
                </c:pt>
                <c:pt idx="2">
                  <c:v>850000</c:v>
                </c:pt>
                <c:pt idx="3">
                  <c:v>900000</c:v>
                </c:pt>
                <c:pt idx="4">
                  <c:v>1500000</c:v>
                </c:pt>
                <c:pt idx="5">
                  <c:v>1100000</c:v>
                </c:pt>
                <c:pt idx="6">
                  <c:v>950000</c:v>
                </c:pt>
                <c:pt idx="7">
                  <c:v>1050000</c:v>
                </c:pt>
                <c:pt idx="8">
                  <c:v>800000</c:v>
                </c:pt>
                <c:pt idx="9">
                  <c:v>900000</c:v>
                </c:pt>
                <c:pt idx="10">
                  <c:v>1150000</c:v>
                </c:pt>
                <c:pt idx="11">
                  <c:v>700000</c:v>
                </c:pt>
                <c:pt idx="12">
                  <c:v>850000</c:v>
                </c:pt>
                <c:pt idx="13">
                  <c:v>1300000</c:v>
                </c:pt>
                <c:pt idx="14">
                  <c:v>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8-43ED-AB74-D6F014E99D09}"/>
            </c:ext>
          </c:extLst>
        </c:ser>
        <c:ser>
          <c:idx val="1"/>
          <c:order val="1"/>
          <c:tx>
            <c:strRef>
              <c:f>IBC_Employee_Performance!$F$8</c:f>
              <c:strCache>
                <c:ptCount val="1"/>
                <c:pt idx="0">
                  <c:v>Sales Achieved (₹)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IBC_Employee_Performance!$B$9:$B$23</c:f>
              <c:strCache>
                <c:ptCount val="15"/>
                <c:pt idx="0">
                  <c:v>Aarav Sharma</c:v>
                </c:pt>
                <c:pt idx="1">
                  <c:v>Priya Nair</c:v>
                </c:pt>
                <c:pt idx="2">
                  <c:v>Rohan Mehta</c:v>
                </c:pt>
                <c:pt idx="3">
                  <c:v>Neha Kulkarni</c:v>
                </c:pt>
                <c:pt idx="4">
                  <c:v>Aditya Verma</c:v>
                </c:pt>
                <c:pt idx="5">
                  <c:v>Vikram Deshmukh</c:v>
                </c:pt>
                <c:pt idx="6">
                  <c:v>Pooja Iyer</c:v>
                </c:pt>
                <c:pt idx="7">
                  <c:v>Sneha Patil</c:v>
                </c:pt>
                <c:pt idx="8">
                  <c:v>Amit Kulkarni</c:v>
                </c:pt>
                <c:pt idx="9">
                  <c:v>Anjali Deshmukh</c:v>
                </c:pt>
                <c:pt idx="10">
                  <c:v>Karthik Rajan</c:v>
                </c:pt>
                <c:pt idx="11">
                  <c:v>Divya Joshi</c:v>
                </c:pt>
                <c:pt idx="12">
                  <c:v>Suresh Nair</c:v>
                </c:pt>
                <c:pt idx="13">
                  <c:v>Manish Patel</c:v>
                </c:pt>
                <c:pt idx="14">
                  <c:v>Tanvi Rao</c:v>
                </c:pt>
              </c:strCache>
            </c:strRef>
          </c:cat>
          <c:val>
            <c:numRef>
              <c:f>IBC_Employee_Performance!$F$9:$F$23</c:f>
              <c:numCache>
                <c:formatCode>\₹#,##0</c:formatCode>
                <c:ptCount val="15"/>
                <c:pt idx="0">
                  <c:v>1380000</c:v>
                </c:pt>
                <c:pt idx="1">
                  <c:v>1120000</c:v>
                </c:pt>
                <c:pt idx="2">
                  <c:v>890000</c:v>
                </c:pt>
                <c:pt idx="3">
                  <c:v>945000</c:v>
                </c:pt>
                <c:pt idx="4">
                  <c:v>1620000</c:v>
                </c:pt>
                <c:pt idx="5">
                  <c:v>980000</c:v>
                </c:pt>
                <c:pt idx="6">
                  <c:v>1045000</c:v>
                </c:pt>
                <c:pt idx="7">
                  <c:v>1100000</c:v>
                </c:pt>
                <c:pt idx="8">
                  <c:v>740000</c:v>
                </c:pt>
                <c:pt idx="9">
                  <c:v>960000</c:v>
                </c:pt>
                <c:pt idx="10">
                  <c:v>1265000</c:v>
                </c:pt>
                <c:pt idx="11">
                  <c:v>735000</c:v>
                </c:pt>
                <c:pt idx="12">
                  <c:v>810000</c:v>
                </c:pt>
                <c:pt idx="13">
                  <c:v>1410000</c:v>
                </c:pt>
                <c:pt idx="14">
                  <c:v>1020000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8-43ED-AB74-D6F014E99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Employee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Volume (₹)</a:t>
                </a:r>
              </a:p>
            </c:rich>
          </c:tx>
          <c:overlay val="0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648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15</xdr:row>
      <xdr:rowOff>0</xdr:rowOff>
    </xdr:from>
    <xdr:ext cx="54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>
      <selection activeCell="A2" sqref="A2"/>
    </sheetView>
  </sheetViews>
  <sheetFormatPr defaultRowHeight="15" x14ac:dyDescent="0.25"/>
  <cols>
    <col min="1" max="1" width="38" customWidth="1"/>
    <col min="2" max="4" width="22" customWidth="1"/>
    <col min="5" max="5" width="15" customWidth="1"/>
    <col min="6" max="6" width="20" customWidth="1"/>
  </cols>
  <sheetData>
    <row r="1" spans="1:6" ht="21" x14ac:dyDescent="0.35">
      <c r="A1" s="1" t="s">
        <v>202</v>
      </c>
    </row>
    <row r="2" spans="1:6" x14ac:dyDescent="0.25">
      <c r="A2" s="2" t="s">
        <v>0</v>
      </c>
    </row>
    <row r="4" spans="1:6" ht="15.75" x14ac:dyDescent="0.25">
      <c r="A4" s="3" t="s">
        <v>1</v>
      </c>
    </row>
    <row r="5" spans="1:6" ht="26.1" customHeight="1" x14ac:dyDescent="0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</row>
    <row r="6" spans="1:6" x14ac:dyDescent="0.25">
      <c r="A6" s="5" t="s">
        <v>8</v>
      </c>
      <c r="B6" s="6">
        <v>450000</v>
      </c>
      <c r="C6" s="6">
        <v>485000</v>
      </c>
      <c r="D6" s="7">
        <f t="shared" ref="D6:D11" si="0">C6-B6</f>
        <v>35000</v>
      </c>
      <c r="E6" s="8">
        <f t="shared" ref="E6:E11" si="1">D6/B6</f>
        <v>7.7777777777777779E-2</v>
      </c>
      <c r="F6" s="9" t="str">
        <f t="shared" ref="F6:F11" si="2">IF(D6&gt;=0,"Favorable","Unfavorable")</f>
        <v>Favorable</v>
      </c>
    </row>
    <row r="7" spans="1:6" x14ac:dyDescent="0.25">
      <c r="A7" s="10" t="s">
        <v>9</v>
      </c>
      <c r="B7" s="11">
        <v>380000</v>
      </c>
      <c r="C7" s="11">
        <v>362000</v>
      </c>
      <c r="D7" s="12">
        <f t="shared" si="0"/>
        <v>-18000</v>
      </c>
      <c r="E7" s="13">
        <f t="shared" si="1"/>
        <v>-4.736842105263158E-2</v>
      </c>
      <c r="F7" s="14" t="str">
        <f t="shared" si="2"/>
        <v>Unfavorable</v>
      </c>
    </row>
    <row r="8" spans="1:6" x14ac:dyDescent="0.25">
      <c r="A8" s="5" t="s">
        <v>10</v>
      </c>
      <c r="B8" s="6">
        <v>150000</v>
      </c>
      <c r="C8" s="6">
        <v>160000</v>
      </c>
      <c r="D8" s="7">
        <f t="shared" si="0"/>
        <v>10000</v>
      </c>
      <c r="E8" s="8">
        <f t="shared" si="1"/>
        <v>6.6666666666666666E-2</v>
      </c>
      <c r="F8" s="9" t="str">
        <f t="shared" si="2"/>
        <v>Favorable</v>
      </c>
    </row>
    <row r="9" spans="1:6" x14ac:dyDescent="0.25">
      <c r="A9" s="10" t="s">
        <v>11</v>
      </c>
      <c r="B9" s="11">
        <v>120000</v>
      </c>
      <c r="C9" s="11">
        <v>135000</v>
      </c>
      <c r="D9" s="12">
        <f t="shared" si="0"/>
        <v>15000</v>
      </c>
      <c r="E9" s="13">
        <f t="shared" si="1"/>
        <v>0.125</v>
      </c>
      <c r="F9" s="14" t="str">
        <f t="shared" si="2"/>
        <v>Favorable</v>
      </c>
    </row>
    <row r="10" spans="1:6" x14ac:dyDescent="0.25">
      <c r="A10" s="5" t="s">
        <v>12</v>
      </c>
      <c r="B10" s="6">
        <v>25000</v>
      </c>
      <c r="C10" s="6">
        <v>26500</v>
      </c>
      <c r="D10" s="7">
        <f t="shared" si="0"/>
        <v>1500</v>
      </c>
      <c r="E10" s="8">
        <f t="shared" si="1"/>
        <v>0.06</v>
      </c>
      <c r="F10" s="9" t="str">
        <f t="shared" si="2"/>
        <v>Favorable</v>
      </c>
    </row>
    <row r="11" spans="1:6" x14ac:dyDescent="0.25">
      <c r="A11" s="15" t="s">
        <v>13</v>
      </c>
      <c r="B11" s="16">
        <f>SUM(B6:B10)</f>
        <v>1125000</v>
      </c>
      <c r="C11" s="16">
        <f>SUM(C6:C10)</f>
        <v>1168500</v>
      </c>
      <c r="D11" s="17">
        <f t="shared" si="0"/>
        <v>43500</v>
      </c>
      <c r="E11" s="18">
        <f t="shared" si="1"/>
        <v>3.8666666666666669E-2</v>
      </c>
      <c r="F11" s="19" t="str">
        <f t="shared" si="2"/>
        <v>Favorable</v>
      </c>
    </row>
    <row r="13" spans="1:6" ht="15.75" x14ac:dyDescent="0.25">
      <c r="A13" s="3" t="s">
        <v>14</v>
      </c>
    </row>
    <row r="14" spans="1:6" ht="26.1" customHeight="1" x14ac:dyDescent="0.25">
      <c r="A14" s="20" t="s">
        <v>15</v>
      </c>
      <c r="B14" s="20" t="s">
        <v>16</v>
      </c>
      <c r="C14" s="20" t="s">
        <v>17</v>
      </c>
      <c r="D14" s="20" t="s">
        <v>18</v>
      </c>
      <c r="E14" s="20" t="s">
        <v>6</v>
      </c>
      <c r="F14" s="20" t="s">
        <v>19</v>
      </c>
    </row>
    <row r="15" spans="1:6" x14ac:dyDescent="0.25">
      <c r="A15" s="10" t="s">
        <v>20</v>
      </c>
      <c r="B15" s="11">
        <v>420000</v>
      </c>
      <c r="C15" s="11">
        <v>428000</v>
      </c>
      <c r="D15" s="12">
        <f t="shared" ref="D15:D24" si="3">B15-C15</f>
        <v>-8000</v>
      </c>
      <c r="E15" s="13">
        <f t="shared" ref="E15:E24" si="4">(C15-B15)/B15</f>
        <v>1.9047619047619049E-2</v>
      </c>
      <c r="F15" s="14" t="str">
        <f t="shared" ref="F15:F24" si="5">IF(C15&gt;B15,"OVER BUDGET","UNDER BUDGET")</f>
        <v>OVER BUDGET</v>
      </c>
    </row>
    <row r="16" spans="1:6" x14ac:dyDescent="0.25">
      <c r="A16" s="5" t="s">
        <v>21</v>
      </c>
      <c r="B16" s="6">
        <v>110000</v>
      </c>
      <c r="C16" s="6">
        <v>110000</v>
      </c>
      <c r="D16" s="7">
        <f t="shared" si="3"/>
        <v>0</v>
      </c>
      <c r="E16" s="8">
        <f t="shared" si="4"/>
        <v>0</v>
      </c>
      <c r="F16" s="9" t="str">
        <f t="shared" si="5"/>
        <v>UNDER BUDGET</v>
      </c>
    </row>
    <row r="17" spans="1:6" x14ac:dyDescent="0.25">
      <c r="A17" s="10" t="s">
        <v>22</v>
      </c>
      <c r="B17" s="11">
        <v>85000</v>
      </c>
      <c r="C17" s="11">
        <v>98500</v>
      </c>
      <c r="D17" s="12">
        <f t="shared" si="3"/>
        <v>-13500</v>
      </c>
      <c r="E17" s="13">
        <f t="shared" si="4"/>
        <v>0.1588235294117647</v>
      </c>
      <c r="F17" s="14" t="str">
        <f t="shared" si="5"/>
        <v>OVER BUDGET</v>
      </c>
    </row>
    <row r="18" spans="1:6" x14ac:dyDescent="0.25">
      <c r="A18" s="5" t="s">
        <v>23</v>
      </c>
      <c r="B18" s="6">
        <v>45000</v>
      </c>
      <c r="C18" s="6">
        <v>39000</v>
      </c>
      <c r="D18" s="7">
        <f t="shared" si="3"/>
        <v>6000</v>
      </c>
      <c r="E18" s="8">
        <f t="shared" si="4"/>
        <v>-0.13333333333333333</v>
      </c>
      <c r="F18" s="9" t="str">
        <f t="shared" si="5"/>
        <v>UNDER BUDGET</v>
      </c>
    </row>
    <row r="19" spans="1:6" x14ac:dyDescent="0.25">
      <c r="A19" s="10" t="s">
        <v>24</v>
      </c>
      <c r="B19" s="11">
        <v>28000</v>
      </c>
      <c r="C19" s="11">
        <v>31200</v>
      </c>
      <c r="D19" s="12">
        <f t="shared" si="3"/>
        <v>-3200</v>
      </c>
      <c r="E19" s="13">
        <f t="shared" si="4"/>
        <v>0.11428571428571428</v>
      </c>
      <c r="F19" s="14" t="str">
        <f t="shared" si="5"/>
        <v>OVER BUDGET</v>
      </c>
    </row>
    <row r="20" spans="1:6" x14ac:dyDescent="0.25">
      <c r="A20" s="5" t="s">
        <v>25</v>
      </c>
      <c r="B20" s="6">
        <v>55000</v>
      </c>
      <c r="C20" s="6">
        <v>52000</v>
      </c>
      <c r="D20" s="7">
        <f t="shared" si="3"/>
        <v>3000</v>
      </c>
      <c r="E20" s="8">
        <f t="shared" si="4"/>
        <v>-5.4545454545454543E-2</v>
      </c>
      <c r="F20" s="9" t="str">
        <f t="shared" si="5"/>
        <v>UNDER BUDGET</v>
      </c>
    </row>
    <row r="21" spans="1:6" x14ac:dyDescent="0.25">
      <c r="A21" s="10" t="s">
        <v>26</v>
      </c>
      <c r="B21" s="11">
        <v>22000</v>
      </c>
      <c r="C21" s="11">
        <v>22000</v>
      </c>
      <c r="D21" s="12">
        <f t="shared" si="3"/>
        <v>0</v>
      </c>
      <c r="E21" s="13">
        <f t="shared" si="4"/>
        <v>0</v>
      </c>
      <c r="F21" s="14" t="str">
        <f t="shared" si="5"/>
        <v>UNDER BUDGET</v>
      </c>
    </row>
    <row r="22" spans="1:6" x14ac:dyDescent="0.25">
      <c r="A22" s="5" t="s">
        <v>27</v>
      </c>
      <c r="B22" s="6">
        <v>35000</v>
      </c>
      <c r="C22" s="6">
        <v>38500</v>
      </c>
      <c r="D22" s="7">
        <f t="shared" si="3"/>
        <v>-3500</v>
      </c>
      <c r="E22" s="8">
        <f t="shared" si="4"/>
        <v>0.1</v>
      </c>
      <c r="F22" s="9" t="str">
        <f t="shared" si="5"/>
        <v>OVER BUDGET</v>
      </c>
    </row>
    <row r="23" spans="1:6" x14ac:dyDescent="0.25">
      <c r="A23" s="10" t="s">
        <v>28</v>
      </c>
      <c r="B23" s="11">
        <v>20000</v>
      </c>
      <c r="C23" s="11">
        <v>18400</v>
      </c>
      <c r="D23" s="12">
        <f t="shared" si="3"/>
        <v>1600</v>
      </c>
      <c r="E23" s="13">
        <f t="shared" si="4"/>
        <v>-0.08</v>
      </c>
      <c r="F23" s="14" t="str">
        <f t="shared" si="5"/>
        <v>UNDER BUDGET</v>
      </c>
    </row>
    <row r="24" spans="1:6" x14ac:dyDescent="0.25">
      <c r="A24" s="15" t="s">
        <v>29</v>
      </c>
      <c r="B24" s="16">
        <f>SUM(B15:B23)</f>
        <v>820000</v>
      </c>
      <c r="C24" s="16">
        <f>SUM(C15:C23)</f>
        <v>837600</v>
      </c>
      <c r="D24" s="17">
        <f t="shared" si="3"/>
        <v>-17600</v>
      </c>
      <c r="E24" s="18">
        <f t="shared" si="4"/>
        <v>2.1463414634146343E-2</v>
      </c>
      <c r="F24" s="19" t="str">
        <f t="shared" si="5"/>
        <v>OVER BUDGET</v>
      </c>
    </row>
    <row r="26" spans="1:6" ht="15.75" x14ac:dyDescent="0.25">
      <c r="A26" s="3" t="s">
        <v>30</v>
      </c>
    </row>
    <row r="27" spans="1:6" ht="24" customHeight="1" x14ac:dyDescent="0.25">
      <c r="A27" s="21" t="s">
        <v>31</v>
      </c>
      <c r="B27" s="21" t="s">
        <v>32</v>
      </c>
      <c r="C27" s="21" t="s">
        <v>33</v>
      </c>
      <c r="D27" s="21" t="s">
        <v>34</v>
      </c>
      <c r="E27" s="21" t="s">
        <v>35</v>
      </c>
    </row>
    <row r="28" spans="1:6" x14ac:dyDescent="0.25">
      <c r="A28" s="22" t="s">
        <v>36</v>
      </c>
      <c r="B28" s="23">
        <f>B11</f>
        <v>1125000</v>
      </c>
      <c r="C28" s="23">
        <f>C11</f>
        <v>1168500</v>
      </c>
      <c r="D28" s="24">
        <f>C11-B11</f>
        <v>43500</v>
      </c>
      <c r="E28" s="25" t="str">
        <f>IF(C11&gt;=B11,"Target Met","Below Target")</f>
        <v>Target Met</v>
      </c>
    </row>
    <row r="29" spans="1:6" x14ac:dyDescent="0.25">
      <c r="A29" s="22" t="s">
        <v>29</v>
      </c>
      <c r="B29" s="23">
        <f>B24</f>
        <v>820000</v>
      </c>
      <c r="C29" s="23">
        <f>C24</f>
        <v>837600</v>
      </c>
      <c r="D29" s="24">
        <f>B24-C24</f>
        <v>-17600</v>
      </c>
      <c r="E29" s="25" t="str">
        <f>IF(C24&lt;=B24,"Controlled","Overspending")</f>
        <v>Overspending</v>
      </c>
    </row>
    <row r="30" spans="1:6" x14ac:dyDescent="0.25">
      <c r="A30" s="26" t="s">
        <v>37</v>
      </c>
      <c r="B30" s="27">
        <f>B28-B29</f>
        <v>305000</v>
      </c>
      <c r="C30" s="27">
        <f>C28-C29</f>
        <v>330900</v>
      </c>
      <c r="D30" s="28">
        <f>C30-B30</f>
        <v>25900</v>
      </c>
      <c r="E30" s="29" t="str">
        <f>IF(C30&gt;0,"Profitable","Net Deficit")</f>
        <v>Profitable</v>
      </c>
    </row>
    <row r="31" spans="1:6" x14ac:dyDescent="0.25">
      <c r="A31" s="22" t="s">
        <v>38</v>
      </c>
      <c r="B31" s="30">
        <f>B30/B28</f>
        <v>0.27111111111111114</v>
      </c>
      <c r="C31" s="30">
        <f>C30/C28</f>
        <v>0.28318356867779204</v>
      </c>
      <c r="D31" s="31">
        <f>C31-B31</f>
        <v>1.2072457566680905E-2</v>
      </c>
      <c r="E31" s="25" t="str">
        <f>IF(C31&gt;=B31,"Margin Expanded","Margin Contracted")</f>
        <v>Margin Expanded</v>
      </c>
    </row>
  </sheetData>
  <conditionalFormatting sqref="F15:F24">
    <cfRule type="cellIs" dxfId="6" priority="1" stopIfTrue="1" operator="equal">
      <formula>"UNDER BUDGET"</formula>
    </cfRule>
    <cfRule type="cellIs" dxfId="5" priority="2" stopIfTrue="1" operator="equal">
      <formula>"OVER BUDGET"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A2" sqref="A2"/>
    </sheetView>
  </sheetViews>
  <sheetFormatPr defaultRowHeight="15" x14ac:dyDescent="0.25"/>
  <cols>
    <col min="1" max="1" width="34" customWidth="1"/>
    <col min="2" max="7" width="15" customWidth="1"/>
    <col min="8" max="9" width="18" customWidth="1"/>
  </cols>
  <sheetData>
    <row r="1" spans="1:9" ht="21" x14ac:dyDescent="0.35">
      <c r="A1" s="1" t="s">
        <v>203</v>
      </c>
    </row>
    <row r="2" spans="1:9" x14ac:dyDescent="0.25">
      <c r="A2" s="2" t="s">
        <v>39</v>
      </c>
    </row>
    <row r="5" spans="1:9" ht="24.95" customHeight="1" x14ac:dyDescent="0.2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</row>
    <row r="6" spans="1:9" x14ac:dyDescent="0.25">
      <c r="A6" s="32" t="s">
        <v>49</v>
      </c>
      <c r="B6" s="6">
        <v>1080000</v>
      </c>
      <c r="C6" s="6">
        <v>1150000</v>
      </c>
      <c r="D6" s="6">
        <v>1220000</v>
      </c>
      <c r="E6" s="6">
        <v>1168500</v>
      </c>
      <c r="F6" s="6">
        <v>1250000</v>
      </c>
      <c r="G6" s="6">
        <v>1310000</v>
      </c>
      <c r="H6" s="33">
        <f t="shared" ref="H6:H13" si="0">SUM(B6:G6)</f>
        <v>7178500</v>
      </c>
      <c r="I6" s="6">
        <f t="shared" ref="I6:I15" si="1">AVERAGE(B6:G6)</f>
        <v>1196416.6666666667</v>
      </c>
    </row>
    <row r="7" spans="1:9" x14ac:dyDescent="0.25">
      <c r="A7" s="32" t="s">
        <v>50</v>
      </c>
      <c r="B7" s="11">
        <v>410000</v>
      </c>
      <c r="C7" s="11">
        <v>415000</v>
      </c>
      <c r="D7" s="11">
        <v>420000</v>
      </c>
      <c r="E7" s="11">
        <v>428000</v>
      </c>
      <c r="F7" s="11">
        <v>435000</v>
      </c>
      <c r="G7" s="11">
        <v>440000</v>
      </c>
      <c r="H7" s="33">
        <f t="shared" si="0"/>
        <v>2548000</v>
      </c>
      <c r="I7" s="6">
        <f t="shared" si="1"/>
        <v>424666.66666666669</v>
      </c>
    </row>
    <row r="8" spans="1:9" x14ac:dyDescent="0.25">
      <c r="A8" s="32" t="s">
        <v>51</v>
      </c>
      <c r="B8" s="6">
        <v>110000</v>
      </c>
      <c r="C8" s="6">
        <v>110000</v>
      </c>
      <c r="D8" s="6">
        <v>110000</v>
      </c>
      <c r="E8" s="6">
        <v>110000</v>
      </c>
      <c r="F8" s="6">
        <v>110000</v>
      </c>
      <c r="G8" s="6">
        <v>110000</v>
      </c>
      <c r="H8" s="33">
        <f t="shared" si="0"/>
        <v>660000</v>
      </c>
      <c r="I8" s="6">
        <f t="shared" si="1"/>
        <v>110000</v>
      </c>
    </row>
    <row r="9" spans="1:9" x14ac:dyDescent="0.25">
      <c r="A9" s="32" t="s">
        <v>52</v>
      </c>
      <c r="B9" s="11">
        <v>75000</v>
      </c>
      <c r="C9" s="11">
        <v>82000</v>
      </c>
      <c r="D9" s="11">
        <v>95000</v>
      </c>
      <c r="E9" s="11">
        <v>98500</v>
      </c>
      <c r="F9" s="11">
        <v>90000</v>
      </c>
      <c r="G9" s="11">
        <v>105000</v>
      </c>
      <c r="H9" s="33">
        <f t="shared" si="0"/>
        <v>545500</v>
      </c>
      <c r="I9" s="6">
        <f t="shared" si="1"/>
        <v>90916.666666666672</v>
      </c>
    </row>
    <row r="10" spans="1:9" x14ac:dyDescent="0.25">
      <c r="A10" s="32" t="s">
        <v>53</v>
      </c>
      <c r="B10" s="6">
        <v>35000</v>
      </c>
      <c r="C10" s="6">
        <v>42000</v>
      </c>
      <c r="D10" s="6">
        <v>48000</v>
      </c>
      <c r="E10" s="6">
        <v>39000</v>
      </c>
      <c r="F10" s="6">
        <v>44000</v>
      </c>
      <c r="G10" s="6">
        <v>52000</v>
      </c>
      <c r="H10" s="33">
        <f t="shared" si="0"/>
        <v>260000</v>
      </c>
      <c r="I10" s="6">
        <f t="shared" si="1"/>
        <v>43333.333333333336</v>
      </c>
    </row>
    <row r="11" spans="1:9" x14ac:dyDescent="0.25">
      <c r="A11" s="32" t="s">
        <v>54</v>
      </c>
      <c r="B11" s="11">
        <v>29000</v>
      </c>
      <c r="C11" s="11">
        <v>30000</v>
      </c>
      <c r="D11" s="11">
        <v>31000</v>
      </c>
      <c r="E11" s="11">
        <v>31200</v>
      </c>
      <c r="F11" s="11">
        <v>32000</v>
      </c>
      <c r="G11" s="11">
        <v>33500</v>
      </c>
      <c r="H11" s="33">
        <f t="shared" si="0"/>
        <v>186700</v>
      </c>
      <c r="I11" s="6">
        <f t="shared" si="1"/>
        <v>31116.666666666668</v>
      </c>
    </row>
    <row r="12" spans="1:9" x14ac:dyDescent="0.25">
      <c r="A12" s="32" t="s">
        <v>55</v>
      </c>
      <c r="B12" s="6">
        <v>48000</v>
      </c>
      <c r="C12" s="6">
        <v>50000</v>
      </c>
      <c r="D12" s="6">
        <v>51000</v>
      </c>
      <c r="E12" s="6">
        <v>52000</v>
      </c>
      <c r="F12" s="6">
        <v>53000</v>
      </c>
      <c r="G12" s="6">
        <v>54000</v>
      </c>
      <c r="H12" s="33">
        <f t="shared" si="0"/>
        <v>308000</v>
      </c>
      <c r="I12" s="6">
        <f t="shared" si="1"/>
        <v>51333.333333333336</v>
      </c>
    </row>
    <row r="13" spans="1:9" x14ac:dyDescent="0.25">
      <c r="A13" s="32" t="s">
        <v>56</v>
      </c>
      <c r="B13" s="11">
        <v>55000</v>
      </c>
      <c r="C13" s="11">
        <v>58000</v>
      </c>
      <c r="D13" s="11">
        <v>62000</v>
      </c>
      <c r="E13" s="11">
        <v>78900</v>
      </c>
      <c r="F13" s="11">
        <v>61000</v>
      </c>
      <c r="G13" s="11">
        <v>64000</v>
      </c>
      <c r="H13" s="33">
        <f t="shared" si="0"/>
        <v>378900</v>
      </c>
      <c r="I13" s="6">
        <f t="shared" si="1"/>
        <v>63150</v>
      </c>
    </row>
    <row r="14" spans="1:9" x14ac:dyDescent="0.25">
      <c r="A14" s="34" t="s">
        <v>29</v>
      </c>
      <c r="B14" s="16">
        <f t="shared" ref="B14:H14" si="2">SUM(B7:B13)</f>
        <v>762000</v>
      </c>
      <c r="C14" s="16">
        <f t="shared" si="2"/>
        <v>787000</v>
      </c>
      <c r="D14" s="16">
        <f t="shared" si="2"/>
        <v>817000</v>
      </c>
      <c r="E14" s="16">
        <f t="shared" si="2"/>
        <v>837600</v>
      </c>
      <c r="F14" s="16">
        <f t="shared" si="2"/>
        <v>825000</v>
      </c>
      <c r="G14" s="16">
        <f t="shared" si="2"/>
        <v>858500</v>
      </c>
      <c r="H14" s="16">
        <f t="shared" si="2"/>
        <v>4887100</v>
      </c>
      <c r="I14" s="16">
        <f t="shared" si="1"/>
        <v>814516.66666666663</v>
      </c>
    </row>
    <row r="15" spans="1:9" x14ac:dyDescent="0.25">
      <c r="A15" s="34" t="s">
        <v>37</v>
      </c>
      <c r="B15" s="35">
        <f t="shared" ref="B15:H15" si="3">B6-B14</f>
        <v>318000</v>
      </c>
      <c r="C15" s="35">
        <f t="shared" si="3"/>
        <v>363000</v>
      </c>
      <c r="D15" s="35">
        <f t="shared" si="3"/>
        <v>403000</v>
      </c>
      <c r="E15" s="35">
        <f t="shared" si="3"/>
        <v>330900</v>
      </c>
      <c r="F15" s="35">
        <f t="shared" si="3"/>
        <v>425000</v>
      </c>
      <c r="G15" s="35">
        <f t="shared" si="3"/>
        <v>451500</v>
      </c>
      <c r="H15" s="35">
        <f t="shared" si="3"/>
        <v>2291400</v>
      </c>
      <c r="I15" s="35">
        <f t="shared" si="1"/>
        <v>381900</v>
      </c>
    </row>
    <row r="16" spans="1:9" x14ac:dyDescent="0.25">
      <c r="A16" s="34" t="s">
        <v>57</v>
      </c>
      <c r="B16" s="36">
        <f t="shared" ref="B16:I16" si="4">B15/B6</f>
        <v>0.29444444444444445</v>
      </c>
      <c r="C16" s="36">
        <f t="shared" si="4"/>
        <v>0.31565217391304345</v>
      </c>
      <c r="D16" s="36">
        <f t="shared" si="4"/>
        <v>0.33032786885245902</v>
      </c>
      <c r="E16" s="36">
        <f t="shared" si="4"/>
        <v>0.28318356867779204</v>
      </c>
      <c r="F16" s="36">
        <f t="shared" si="4"/>
        <v>0.34</v>
      </c>
      <c r="G16" s="36">
        <f t="shared" si="4"/>
        <v>0.34465648854961833</v>
      </c>
      <c r="H16" s="36">
        <f t="shared" si="4"/>
        <v>0.31920317615100646</v>
      </c>
      <c r="I16" s="36">
        <f t="shared" si="4"/>
        <v>0.31920317615100646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>
      <selection activeCell="A2" sqref="A2"/>
    </sheetView>
  </sheetViews>
  <sheetFormatPr defaultRowHeight="15" x14ac:dyDescent="0.25"/>
  <cols>
    <col min="1" max="1" width="12" customWidth="1"/>
    <col min="2" max="2" width="24" customWidth="1"/>
    <col min="3" max="3" width="22" customWidth="1"/>
    <col min="4" max="4" width="20" customWidth="1"/>
    <col min="5" max="6" width="18" customWidth="1"/>
    <col min="7" max="7" width="14" customWidth="1"/>
    <col min="8" max="8" width="15" customWidth="1"/>
    <col min="9" max="9" width="16" customWidth="1"/>
    <col min="10" max="10" width="18" customWidth="1"/>
    <col min="11" max="11" width="22" customWidth="1"/>
    <col min="12" max="12" width="20" customWidth="1"/>
  </cols>
  <sheetData>
    <row r="1" spans="1:12" ht="21" x14ac:dyDescent="0.35">
      <c r="A1" s="1" t="s">
        <v>204</v>
      </c>
    </row>
    <row r="2" spans="1:12" x14ac:dyDescent="0.25">
      <c r="A2" s="2" t="s">
        <v>58</v>
      </c>
    </row>
    <row r="4" spans="1:12" x14ac:dyDescent="0.25">
      <c r="A4" s="58" t="s">
        <v>59</v>
      </c>
      <c r="B4" s="59"/>
      <c r="C4" s="58" t="s">
        <v>60</v>
      </c>
      <c r="D4" s="59"/>
      <c r="E4" s="58" t="s">
        <v>61</v>
      </c>
      <c r="F4" s="59"/>
      <c r="G4" s="58" t="s">
        <v>62</v>
      </c>
      <c r="H4" s="59"/>
      <c r="I4" s="58" t="s">
        <v>63</v>
      </c>
      <c r="J4" s="59"/>
    </row>
    <row r="5" spans="1:12" ht="15.75" x14ac:dyDescent="0.25">
      <c r="A5" s="38">
        <f>SUM(E9:E23)</f>
        <v>15200000</v>
      </c>
      <c r="B5" s="39"/>
      <c r="C5" s="38">
        <f>SUM(F9:F23)</f>
        <v>16020000</v>
      </c>
      <c r="D5" s="39"/>
      <c r="E5" s="40">
        <f>AVERAGE(G9:G23)</f>
        <v>1.0492329600224337</v>
      </c>
      <c r="F5" s="39"/>
      <c r="G5" s="41">
        <f>COUNTIF(K9:K23,"Top Performer")</f>
        <v>12</v>
      </c>
      <c r="H5" s="39"/>
      <c r="I5" s="38">
        <f>SUM(L9:L23)</f>
        <v>750400</v>
      </c>
      <c r="J5" s="39"/>
    </row>
    <row r="7" spans="1:12" ht="15.75" x14ac:dyDescent="0.25">
      <c r="A7" s="3" t="s">
        <v>64</v>
      </c>
    </row>
    <row r="8" spans="1:12" ht="27.95" customHeight="1" x14ac:dyDescent="0.25">
      <c r="A8" s="21" t="s">
        <v>65</v>
      </c>
      <c r="B8" s="21" t="s">
        <v>66</v>
      </c>
      <c r="C8" s="21" t="s">
        <v>67</v>
      </c>
      <c r="D8" s="21" t="s">
        <v>68</v>
      </c>
      <c r="E8" s="21" t="s">
        <v>69</v>
      </c>
      <c r="F8" s="21" t="s">
        <v>70</v>
      </c>
      <c r="G8" s="21" t="s">
        <v>71</v>
      </c>
      <c r="H8" s="21" t="s">
        <v>72</v>
      </c>
      <c r="I8" s="21" t="s">
        <v>73</v>
      </c>
      <c r="J8" s="21" t="s">
        <v>74</v>
      </c>
      <c r="K8" s="21" t="s">
        <v>75</v>
      </c>
      <c r="L8" s="21" t="s">
        <v>76</v>
      </c>
    </row>
    <row r="9" spans="1:12" x14ac:dyDescent="0.25">
      <c r="A9" s="42" t="s">
        <v>77</v>
      </c>
      <c r="B9" s="43" t="s">
        <v>78</v>
      </c>
      <c r="C9" s="43" t="s">
        <v>79</v>
      </c>
      <c r="D9" s="42" t="s">
        <v>80</v>
      </c>
      <c r="E9" s="44">
        <v>1200000</v>
      </c>
      <c r="F9" s="44">
        <v>1380000</v>
      </c>
      <c r="G9" s="45">
        <f t="shared" ref="G9:G24" si="0">F9/E9</f>
        <v>1.1499999999999999</v>
      </c>
      <c r="H9" s="46">
        <v>9.1999999999999993</v>
      </c>
      <c r="I9" s="46">
        <v>9</v>
      </c>
      <c r="J9" s="46">
        <f t="shared" ref="J9:J23" si="1">ROUND((MIN(G9, 1.15)*60) + (H9/10)*20 + (I9/10)*20, 1)</f>
        <v>105.4</v>
      </c>
      <c r="K9" s="42" t="str">
        <f t="shared" ref="K9:K23" si="2">IF(J9&gt;=90,"Top Performer",IF(J9&gt;=80,"Exceeds Expectations",IF(J9&gt;=70,"Meets Expectations","Needs Improvement")))</f>
        <v>Top Performer</v>
      </c>
      <c r="L9" s="44">
        <f t="shared" ref="L9:L23" si="3">IF(K9="Top Performer",F9*0.05,IF(K9="Exceeds Expectations",F9*0.03,IF(K9="Meets Expectations",F9*0.01,0)))</f>
        <v>69000</v>
      </c>
    </row>
    <row r="10" spans="1:12" x14ac:dyDescent="0.25">
      <c r="A10" s="25" t="s">
        <v>81</v>
      </c>
      <c r="B10" s="47" t="s">
        <v>82</v>
      </c>
      <c r="C10" s="47" t="s">
        <v>83</v>
      </c>
      <c r="D10" s="25" t="s">
        <v>84</v>
      </c>
      <c r="E10" s="23">
        <v>1000000</v>
      </c>
      <c r="F10" s="23">
        <v>1120000</v>
      </c>
      <c r="G10" s="30">
        <f t="shared" si="0"/>
        <v>1.1200000000000001</v>
      </c>
      <c r="H10" s="48">
        <v>9.5</v>
      </c>
      <c r="I10" s="48">
        <v>9.1999999999999993</v>
      </c>
      <c r="J10" s="48">
        <f t="shared" si="1"/>
        <v>104.6</v>
      </c>
      <c r="K10" s="25" t="str">
        <f t="shared" si="2"/>
        <v>Top Performer</v>
      </c>
      <c r="L10" s="23">
        <f t="shared" si="3"/>
        <v>56000</v>
      </c>
    </row>
    <row r="11" spans="1:12" x14ac:dyDescent="0.25">
      <c r="A11" s="42" t="s">
        <v>85</v>
      </c>
      <c r="B11" s="43" t="s">
        <v>86</v>
      </c>
      <c r="C11" s="43" t="s">
        <v>87</v>
      </c>
      <c r="D11" s="42" t="s">
        <v>88</v>
      </c>
      <c r="E11" s="44">
        <v>850000</v>
      </c>
      <c r="F11" s="44">
        <v>890000</v>
      </c>
      <c r="G11" s="45">
        <f t="shared" si="0"/>
        <v>1.0470588235294118</v>
      </c>
      <c r="H11" s="46">
        <v>8.8000000000000007</v>
      </c>
      <c r="I11" s="46">
        <v>8.5</v>
      </c>
      <c r="J11" s="46">
        <f t="shared" si="1"/>
        <v>97.4</v>
      </c>
      <c r="K11" s="42" t="str">
        <f t="shared" si="2"/>
        <v>Top Performer</v>
      </c>
      <c r="L11" s="44">
        <f t="shared" si="3"/>
        <v>44500</v>
      </c>
    </row>
    <row r="12" spans="1:12" x14ac:dyDescent="0.25">
      <c r="A12" s="25" t="s">
        <v>89</v>
      </c>
      <c r="B12" s="47" t="s">
        <v>90</v>
      </c>
      <c r="C12" s="47" t="s">
        <v>91</v>
      </c>
      <c r="D12" s="25" t="s">
        <v>88</v>
      </c>
      <c r="E12" s="23">
        <v>900000</v>
      </c>
      <c r="F12" s="23">
        <v>945000</v>
      </c>
      <c r="G12" s="30">
        <f t="shared" si="0"/>
        <v>1.05</v>
      </c>
      <c r="H12" s="48">
        <v>8.9</v>
      </c>
      <c r="I12" s="48">
        <v>8.6999999999999993</v>
      </c>
      <c r="J12" s="48">
        <f t="shared" si="1"/>
        <v>98.2</v>
      </c>
      <c r="K12" s="25" t="str">
        <f t="shared" si="2"/>
        <v>Top Performer</v>
      </c>
      <c r="L12" s="23">
        <f t="shared" si="3"/>
        <v>47250</v>
      </c>
    </row>
    <row r="13" spans="1:12" x14ac:dyDescent="0.25">
      <c r="A13" s="42" t="s">
        <v>92</v>
      </c>
      <c r="B13" s="43" t="s">
        <v>93</v>
      </c>
      <c r="C13" s="43" t="s">
        <v>79</v>
      </c>
      <c r="D13" s="42" t="s">
        <v>94</v>
      </c>
      <c r="E13" s="44">
        <v>1500000</v>
      </c>
      <c r="F13" s="44">
        <v>1620000</v>
      </c>
      <c r="G13" s="45">
        <f t="shared" si="0"/>
        <v>1.08</v>
      </c>
      <c r="H13" s="46">
        <v>9.1</v>
      </c>
      <c r="I13" s="46">
        <v>9</v>
      </c>
      <c r="J13" s="46">
        <f t="shared" si="1"/>
        <v>101</v>
      </c>
      <c r="K13" s="42" t="str">
        <f t="shared" si="2"/>
        <v>Top Performer</v>
      </c>
      <c r="L13" s="44">
        <f t="shared" si="3"/>
        <v>81000</v>
      </c>
    </row>
    <row r="14" spans="1:12" x14ac:dyDescent="0.25">
      <c r="A14" s="25" t="s">
        <v>95</v>
      </c>
      <c r="B14" s="47" t="s">
        <v>96</v>
      </c>
      <c r="C14" s="47" t="s">
        <v>91</v>
      </c>
      <c r="D14" s="25" t="s">
        <v>80</v>
      </c>
      <c r="E14" s="23">
        <v>1100000</v>
      </c>
      <c r="F14" s="23">
        <v>980000</v>
      </c>
      <c r="G14" s="30">
        <f t="shared" si="0"/>
        <v>0.89090909090909087</v>
      </c>
      <c r="H14" s="48">
        <v>8</v>
      </c>
      <c r="I14" s="48">
        <v>7.8</v>
      </c>
      <c r="J14" s="48">
        <f t="shared" si="1"/>
        <v>85.1</v>
      </c>
      <c r="K14" s="25" t="str">
        <f t="shared" si="2"/>
        <v>Exceeds Expectations</v>
      </c>
      <c r="L14" s="23">
        <f t="shared" si="3"/>
        <v>29400</v>
      </c>
    </row>
    <row r="15" spans="1:12" x14ac:dyDescent="0.25">
      <c r="A15" s="42" t="s">
        <v>97</v>
      </c>
      <c r="B15" s="43" t="s">
        <v>98</v>
      </c>
      <c r="C15" s="43" t="s">
        <v>83</v>
      </c>
      <c r="D15" s="42" t="s">
        <v>99</v>
      </c>
      <c r="E15" s="44">
        <v>950000</v>
      </c>
      <c r="F15" s="44">
        <v>1045000</v>
      </c>
      <c r="G15" s="45">
        <f t="shared" si="0"/>
        <v>1.1000000000000001</v>
      </c>
      <c r="H15" s="46">
        <v>9.3000000000000007</v>
      </c>
      <c r="I15" s="46">
        <v>9</v>
      </c>
      <c r="J15" s="46">
        <f t="shared" si="1"/>
        <v>102.6</v>
      </c>
      <c r="K15" s="42" t="str">
        <f t="shared" si="2"/>
        <v>Top Performer</v>
      </c>
      <c r="L15" s="44">
        <f t="shared" si="3"/>
        <v>52250</v>
      </c>
    </row>
    <row r="16" spans="1:12" x14ac:dyDescent="0.25">
      <c r="A16" s="25" t="s">
        <v>100</v>
      </c>
      <c r="B16" s="47" t="s">
        <v>101</v>
      </c>
      <c r="C16" s="47" t="s">
        <v>87</v>
      </c>
      <c r="D16" s="25" t="s">
        <v>102</v>
      </c>
      <c r="E16" s="23">
        <v>1050000</v>
      </c>
      <c r="F16" s="23">
        <v>1100000</v>
      </c>
      <c r="G16" s="30">
        <f t="shared" si="0"/>
        <v>1.0476190476190477</v>
      </c>
      <c r="H16" s="48">
        <v>8.6999999999999993</v>
      </c>
      <c r="I16" s="48">
        <v>8.8000000000000007</v>
      </c>
      <c r="J16" s="48">
        <f t="shared" si="1"/>
        <v>97.9</v>
      </c>
      <c r="K16" s="25" t="str">
        <f t="shared" si="2"/>
        <v>Top Performer</v>
      </c>
      <c r="L16" s="23">
        <f t="shared" si="3"/>
        <v>55000</v>
      </c>
    </row>
    <row r="17" spans="1:12" x14ac:dyDescent="0.25">
      <c r="A17" s="42" t="s">
        <v>103</v>
      </c>
      <c r="B17" s="43" t="s">
        <v>104</v>
      </c>
      <c r="C17" s="43" t="s">
        <v>91</v>
      </c>
      <c r="D17" s="42" t="s">
        <v>105</v>
      </c>
      <c r="E17" s="44">
        <v>800000</v>
      </c>
      <c r="F17" s="44">
        <v>740000</v>
      </c>
      <c r="G17" s="45">
        <f t="shared" si="0"/>
        <v>0.92500000000000004</v>
      </c>
      <c r="H17" s="46">
        <v>7.5</v>
      </c>
      <c r="I17" s="46">
        <v>7.2</v>
      </c>
      <c r="J17" s="46">
        <f t="shared" si="1"/>
        <v>84.9</v>
      </c>
      <c r="K17" s="42" t="str">
        <f t="shared" si="2"/>
        <v>Exceeds Expectations</v>
      </c>
      <c r="L17" s="44">
        <f t="shared" si="3"/>
        <v>22200</v>
      </c>
    </row>
    <row r="18" spans="1:12" x14ac:dyDescent="0.25">
      <c r="A18" s="25" t="s">
        <v>106</v>
      </c>
      <c r="B18" s="47" t="s">
        <v>107</v>
      </c>
      <c r="C18" s="47" t="s">
        <v>79</v>
      </c>
      <c r="D18" s="25" t="s">
        <v>108</v>
      </c>
      <c r="E18" s="23">
        <v>900000</v>
      </c>
      <c r="F18" s="23">
        <v>960000</v>
      </c>
      <c r="G18" s="30">
        <f t="shared" si="0"/>
        <v>1.0666666666666667</v>
      </c>
      <c r="H18" s="48">
        <v>8.8000000000000007</v>
      </c>
      <c r="I18" s="48">
        <v>8.9</v>
      </c>
      <c r="J18" s="48">
        <f t="shared" si="1"/>
        <v>99.4</v>
      </c>
      <c r="K18" s="25" t="str">
        <f t="shared" si="2"/>
        <v>Top Performer</v>
      </c>
      <c r="L18" s="23">
        <f t="shared" si="3"/>
        <v>48000</v>
      </c>
    </row>
    <row r="19" spans="1:12" x14ac:dyDescent="0.25">
      <c r="A19" s="42" t="s">
        <v>109</v>
      </c>
      <c r="B19" s="43" t="s">
        <v>110</v>
      </c>
      <c r="C19" s="43" t="s">
        <v>83</v>
      </c>
      <c r="D19" s="42" t="s">
        <v>84</v>
      </c>
      <c r="E19" s="44">
        <v>1150000</v>
      </c>
      <c r="F19" s="44">
        <v>1265000</v>
      </c>
      <c r="G19" s="45">
        <f t="shared" si="0"/>
        <v>1.1000000000000001</v>
      </c>
      <c r="H19" s="46">
        <v>9.4</v>
      </c>
      <c r="I19" s="46">
        <v>9.1</v>
      </c>
      <c r="J19" s="46">
        <f t="shared" si="1"/>
        <v>103</v>
      </c>
      <c r="K19" s="42" t="str">
        <f t="shared" si="2"/>
        <v>Top Performer</v>
      </c>
      <c r="L19" s="44">
        <f t="shared" si="3"/>
        <v>63250</v>
      </c>
    </row>
    <row r="20" spans="1:12" x14ac:dyDescent="0.25">
      <c r="A20" s="25" t="s">
        <v>111</v>
      </c>
      <c r="B20" s="47" t="s">
        <v>112</v>
      </c>
      <c r="C20" s="47" t="s">
        <v>91</v>
      </c>
      <c r="D20" s="25" t="s">
        <v>113</v>
      </c>
      <c r="E20" s="23">
        <v>700000</v>
      </c>
      <c r="F20" s="23">
        <v>735000</v>
      </c>
      <c r="G20" s="30">
        <f t="shared" si="0"/>
        <v>1.05</v>
      </c>
      <c r="H20" s="48">
        <v>8.6</v>
      </c>
      <c r="I20" s="48">
        <v>8.5</v>
      </c>
      <c r="J20" s="48">
        <f t="shared" si="1"/>
        <v>97.2</v>
      </c>
      <c r="K20" s="25" t="str">
        <f t="shared" si="2"/>
        <v>Top Performer</v>
      </c>
      <c r="L20" s="23">
        <f t="shared" si="3"/>
        <v>36750</v>
      </c>
    </row>
    <row r="21" spans="1:12" x14ac:dyDescent="0.25">
      <c r="A21" s="42" t="s">
        <v>114</v>
      </c>
      <c r="B21" s="43" t="s">
        <v>115</v>
      </c>
      <c r="C21" s="43" t="s">
        <v>87</v>
      </c>
      <c r="D21" s="42" t="s">
        <v>116</v>
      </c>
      <c r="E21" s="44">
        <v>850000</v>
      </c>
      <c r="F21" s="44">
        <v>810000</v>
      </c>
      <c r="G21" s="45">
        <f t="shared" si="0"/>
        <v>0.95294117647058818</v>
      </c>
      <c r="H21" s="46">
        <v>7.8</v>
      </c>
      <c r="I21" s="46">
        <v>7.9</v>
      </c>
      <c r="J21" s="46">
        <f t="shared" si="1"/>
        <v>88.6</v>
      </c>
      <c r="K21" s="42" t="str">
        <f t="shared" si="2"/>
        <v>Exceeds Expectations</v>
      </c>
      <c r="L21" s="44">
        <f t="shared" si="3"/>
        <v>24300</v>
      </c>
    </row>
    <row r="22" spans="1:12" x14ac:dyDescent="0.25">
      <c r="A22" s="25" t="s">
        <v>117</v>
      </c>
      <c r="B22" s="47" t="s">
        <v>118</v>
      </c>
      <c r="C22" s="47" t="s">
        <v>79</v>
      </c>
      <c r="D22" s="25" t="s">
        <v>94</v>
      </c>
      <c r="E22" s="23">
        <v>1300000</v>
      </c>
      <c r="F22" s="23">
        <v>1410000</v>
      </c>
      <c r="G22" s="30">
        <f t="shared" si="0"/>
        <v>1.0846153846153845</v>
      </c>
      <c r="H22" s="48">
        <v>9</v>
      </c>
      <c r="I22" s="48">
        <v>8.8000000000000007</v>
      </c>
      <c r="J22" s="48">
        <f t="shared" si="1"/>
        <v>100.7</v>
      </c>
      <c r="K22" s="25" t="str">
        <f t="shared" si="2"/>
        <v>Top Performer</v>
      </c>
      <c r="L22" s="23">
        <f t="shared" si="3"/>
        <v>70500</v>
      </c>
    </row>
    <row r="23" spans="1:12" x14ac:dyDescent="0.25">
      <c r="A23" s="42" t="s">
        <v>119</v>
      </c>
      <c r="B23" s="43" t="s">
        <v>120</v>
      </c>
      <c r="C23" s="43" t="s">
        <v>83</v>
      </c>
      <c r="D23" s="42" t="s">
        <v>102</v>
      </c>
      <c r="E23" s="44">
        <v>950000</v>
      </c>
      <c r="F23" s="44">
        <v>1020000</v>
      </c>
      <c r="G23" s="45">
        <f t="shared" si="0"/>
        <v>1.0736842105263158</v>
      </c>
      <c r="H23" s="46">
        <v>9.1</v>
      </c>
      <c r="I23" s="46">
        <v>9</v>
      </c>
      <c r="J23" s="46">
        <f t="shared" si="1"/>
        <v>100.6</v>
      </c>
      <c r="K23" s="42" t="str">
        <f t="shared" si="2"/>
        <v>Top Performer</v>
      </c>
      <c r="L23" s="44">
        <f t="shared" si="3"/>
        <v>51000</v>
      </c>
    </row>
    <row r="24" spans="1:12" x14ac:dyDescent="0.25">
      <c r="A24" s="15" t="s">
        <v>121</v>
      </c>
      <c r="B24" s="15"/>
      <c r="C24" s="15"/>
      <c r="D24" s="15"/>
      <c r="E24" s="16">
        <f>SUM(E9:E23)</f>
        <v>15200000</v>
      </c>
      <c r="F24" s="16">
        <f>SUM(F9:F23)</f>
        <v>16020000</v>
      </c>
      <c r="G24" s="18">
        <f t="shared" si="0"/>
        <v>1.0539473684210525</v>
      </c>
      <c r="H24" s="49">
        <f>AVERAGE(H9:H23)</f>
        <v>8.7799999999999994</v>
      </c>
      <c r="I24" s="49">
        <f>AVERAGE(I9:I23)</f>
        <v>8.6266666666666669</v>
      </c>
      <c r="J24" s="49">
        <f>AVERAGE(J9:J23)</f>
        <v>97.773333333333326</v>
      </c>
      <c r="K24" s="19" t="str">
        <f>COUNTIF(K9:K23,"Top Performer") &amp; " Top Performers"</f>
        <v>12 Top Performers</v>
      </c>
      <c r="L24" s="16">
        <f>SUM(L9:L23)</f>
        <v>750400</v>
      </c>
    </row>
  </sheetData>
  <mergeCells count="5">
    <mergeCell ref="A4:B4"/>
    <mergeCell ref="G4:H4"/>
    <mergeCell ref="E4:F4"/>
    <mergeCell ref="I4:J4"/>
    <mergeCell ref="C4:D4"/>
  </mergeCells>
  <conditionalFormatting sqref="K9:K23">
    <cfRule type="cellIs" dxfId="4" priority="1" stopIfTrue="1" operator="equal">
      <formula>"Top Performer"</formula>
    </cfRule>
    <cfRule type="cellIs" dxfId="3" priority="2" stopIfTrue="1" operator="equal">
      <formula>"Needs Improvement"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workbookViewId="0">
      <selection activeCell="A2" sqref="A2"/>
    </sheetView>
  </sheetViews>
  <sheetFormatPr defaultRowHeight="15" x14ac:dyDescent="0.25"/>
  <cols>
    <col min="1" max="1" width="22" customWidth="1"/>
    <col min="2" max="2" width="36" customWidth="1"/>
    <col min="3" max="3" width="26" customWidth="1"/>
    <col min="4" max="4" width="22" customWidth="1"/>
    <col min="5" max="5" width="20" customWidth="1"/>
    <col min="6" max="6" width="24" customWidth="1"/>
    <col min="7" max="7" width="18" customWidth="1"/>
    <col min="8" max="8" width="24" customWidth="1"/>
    <col min="9" max="9" width="28" customWidth="1"/>
    <col min="10" max="10" width="25" customWidth="1"/>
  </cols>
  <sheetData>
    <row r="1" spans="1:10" ht="21" x14ac:dyDescent="0.35">
      <c r="A1" s="1" t="s">
        <v>205</v>
      </c>
    </row>
    <row r="2" spans="1:10" x14ac:dyDescent="0.25">
      <c r="A2" s="2" t="s">
        <v>122</v>
      </c>
    </row>
    <row r="4" spans="1:10" x14ac:dyDescent="0.25">
      <c r="A4" s="34" t="s">
        <v>123</v>
      </c>
    </row>
    <row r="5" spans="1:10" x14ac:dyDescent="0.25">
      <c r="A5" s="37" t="s">
        <v>124</v>
      </c>
    </row>
    <row r="7" spans="1:10" ht="15.75" x14ac:dyDescent="0.25">
      <c r="A7" s="3" t="s">
        <v>125</v>
      </c>
    </row>
    <row r="8" spans="1:10" ht="26.1" customHeight="1" x14ac:dyDescent="0.25">
      <c r="A8" s="20" t="s">
        <v>126</v>
      </c>
      <c r="B8" s="20" t="s">
        <v>127</v>
      </c>
      <c r="C8" s="20" t="s">
        <v>128</v>
      </c>
      <c r="D8" s="20" t="s">
        <v>129</v>
      </c>
      <c r="E8" s="20" t="s">
        <v>130</v>
      </c>
      <c r="F8" s="20" t="s">
        <v>131</v>
      </c>
      <c r="G8" s="20" t="s">
        <v>132</v>
      </c>
      <c r="H8" s="20" t="s">
        <v>133</v>
      </c>
      <c r="I8" s="20" t="s">
        <v>134</v>
      </c>
      <c r="J8" s="20" t="s">
        <v>135</v>
      </c>
    </row>
    <row r="9" spans="1:10" x14ac:dyDescent="0.25">
      <c r="A9" s="43" t="s">
        <v>80</v>
      </c>
      <c r="B9" s="43" t="s">
        <v>136</v>
      </c>
      <c r="C9" s="42" t="s">
        <v>137</v>
      </c>
      <c r="D9" s="50">
        <v>210</v>
      </c>
      <c r="E9" s="50">
        <v>18</v>
      </c>
      <c r="F9" s="50">
        <v>14500</v>
      </c>
      <c r="G9" s="44">
        <v>34800000</v>
      </c>
      <c r="H9" s="44">
        <f t="shared" ref="H9:H19" si="0">G9/E9</f>
        <v>1933333.3333333333</v>
      </c>
      <c r="I9" s="45">
        <v>0.18</v>
      </c>
      <c r="J9" s="42" t="str">
        <f t="shared" ref="J9:J18" si="1">IF(I9&gt;=0.18,"High Growth Leader",IF(I9&gt;=0.12,"Steady Expand","Mature / Monitor"))</f>
        <v>High Growth Leader</v>
      </c>
    </row>
    <row r="10" spans="1:10" x14ac:dyDescent="0.25">
      <c r="A10" s="47" t="s">
        <v>138</v>
      </c>
      <c r="B10" s="47" t="s">
        <v>94</v>
      </c>
      <c r="C10" s="25" t="s">
        <v>137</v>
      </c>
      <c r="D10" s="51">
        <v>310</v>
      </c>
      <c r="E10" s="51">
        <v>22</v>
      </c>
      <c r="F10" s="51">
        <v>16800</v>
      </c>
      <c r="G10" s="23">
        <v>38500000</v>
      </c>
      <c r="H10" s="23">
        <f t="shared" si="0"/>
        <v>1750000</v>
      </c>
      <c r="I10" s="30">
        <v>0.15</v>
      </c>
      <c r="J10" s="25" t="str">
        <f t="shared" si="1"/>
        <v>Steady Expand</v>
      </c>
    </row>
    <row r="11" spans="1:10" x14ac:dyDescent="0.25">
      <c r="A11" s="43" t="s">
        <v>84</v>
      </c>
      <c r="B11" s="43" t="s">
        <v>139</v>
      </c>
      <c r="C11" s="42" t="s">
        <v>137</v>
      </c>
      <c r="D11" s="50">
        <v>130</v>
      </c>
      <c r="E11" s="50">
        <v>15</v>
      </c>
      <c r="F11" s="50">
        <v>12400</v>
      </c>
      <c r="G11" s="44">
        <v>29600000</v>
      </c>
      <c r="H11" s="44">
        <f t="shared" si="0"/>
        <v>1973333.3333333333</v>
      </c>
      <c r="I11" s="45">
        <v>0.22</v>
      </c>
      <c r="J11" s="42" t="str">
        <f t="shared" si="1"/>
        <v>High Growth Leader</v>
      </c>
    </row>
    <row r="12" spans="1:10" x14ac:dyDescent="0.25">
      <c r="A12" s="47" t="s">
        <v>88</v>
      </c>
      <c r="B12" s="47" t="s">
        <v>136</v>
      </c>
      <c r="C12" s="25" t="s">
        <v>137</v>
      </c>
      <c r="D12" s="51">
        <v>75</v>
      </c>
      <c r="E12" s="51">
        <v>10</v>
      </c>
      <c r="F12" s="51">
        <v>8900</v>
      </c>
      <c r="G12" s="23">
        <v>19500000</v>
      </c>
      <c r="H12" s="23">
        <f t="shared" si="0"/>
        <v>1950000</v>
      </c>
      <c r="I12" s="30">
        <v>0.19</v>
      </c>
      <c r="J12" s="25" t="str">
        <f t="shared" si="1"/>
        <v>High Growth Leader</v>
      </c>
    </row>
    <row r="13" spans="1:10" x14ac:dyDescent="0.25">
      <c r="A13" s="43" t="s">
        <v>102</v>
      </c>
      <c r="B13" s="43" t="s">
        <v>140</v>
      </c>
      <c r="C13" s="42" t="s">
        <v>137</v>
      </c>
      <c r="D13" s="50">
        <v>105</v>
      </c>
      <c r="E13" s="50">
        <v>12</v>
      </c>
      <c r="F13" s="50">
        <v>9800</v>
      </c>
      <c r="G13" s="44">
        <v>23200000</v>
      </c>
      <c r="H13" s="44">
        <f t="shared" si="0"/>
        <v>1933333.3333333333</v>
      </c>
      <c r="I13" s="45">
        <v>0.21</v>
      </c>
      <c r="J13" s="42" t="str">
        <f t="shared" si="1"/>
        <v>High Growth Leader</v>
      </c>
    </row>
    <row r="14" spans="1:10" x14ac:dyDescent="0.25">
      <c r="A14" s="47" t="s">
        <v>99</v>
      </c>
      <c r="B14" s="47" t="s">
        <v>141</v>
      </c>
      <c r="C14" s="25" t="s">
        <v>137</v>
      </c>
      <c r="D14" s="51">
        <v>115</v>
      </c>
      <c r="E14" s="51">
        <v>11</v>
      </c>
      <c r="F14" s="51">
        <v>9200</v>
      </c>
      <c r="G14" s="23">
        <v>21800000</v>
      </c>
      <c r="H14" s="23">
        <f t="shared" si="0"/>
        <v>1981818.1818181819</v>
      </c>
      <c r="I14" s="30">
        <v>0.14000000000000001</v>
      </c>
      <c r="J14" s="25" t="str">
        <f t="shared" si="1"/>
        <v>Steady Expand</v>
      </c>
    </row>
    <row r="15" spans="1:10" x14ac:dyDescent="0.25">
      <c r="A15" s="43" t="s">
        <v>105</v>
      </c>
      <c r="B15" s="43" t="s">
        <v>142</v>
      </c>
      <c r="C15" s="42" t="s">
        <v>137</v>
      </c>
      <c r="D15" s="50">
        <v>85</v>
      </c>
      <c r="E15" s="50">
        <v>8</v>
      </c>
      <c r="F15" s="50">
        <v>6500</v>
      </c>
      <c r="G15" s="44">
        <v>14200000</v>
      </c>
      <c r="H15" s="44">
        <f t="shared" si="0"/>
        <v>1775000</v>
      </c>
      <c r="I15" s="45">
        <v>0.11</v>
      </c>
      <c r="J15" s="42" t="str">
        <f t="shared" si="1"/>
        <v>Mature / Monitor</v>
      </c>
    </row>
    <row r="16" spans="1:10" x14ac:dyDescent="0.25">
      <c r="A16" s="47" t="s">
        <v>108</v>
      </c>
      <c r="B16" s="47" t="s">
        <v>143</v>
      </c>
      <c r="C16" s="25" t="s">
        <v>137</v>
      </c>
      <c r="D16" s="51">
        <v>150</v>
      </c>
      <c r="E16" s="51">
        <v>9</v>
      </c>
      <c r="F16" s="51">
        <v>7100</v>
      </c>
      <c r="G16" s="23">
        <v>15800000</v>
      </c>
      <c r="H16" s="23">
        <f t="shared" si="0"/>
        <v>1755555.5555555555</v>
      </c>
      <c r="I16" s="30">
        <v>0.09</v>
      </c>
      <c r="J16" s="25" t="str">
        <f t="shared" si="1"/>
        <v>Mature / Monitor</v>
      </c>
    </row>
    <row r="17" spans="1:10" x14ac:dyDescent="0.25">
      <c r="A17" s="43" t="s">
        <v>113</v>
      </c>
      <c r="B17" s="43" t="s">
        <v>144</v>
      </c>
      <c r="C17" s="42" t="s">
        <v>145</v>
      </c>
      <c r="D17" s="50">
        <v>40</v>
      </c>
      <c r="E17" s="50">
        <v>6</v>
      </c>
      <c r="F17" s="50">
        <v>4200</v>
      </c>
      <c r="G17" s="44">
        <v>8900000</v>
      </c>
      <c r="H17" s="44">
        <f t="shared" si="0"/>
        <v>1483333.3333333333</v>
      </c>
      <c r="I17" s="45">
        <v>0.16</v>
      </c>
      <c r="J17" s="42" t="str">
        <f t="shared" si="1"/>
        <v>Steady Expand</v>
      </c>
    </row>
    <row r="18" spans="1:10" x14ac:dyDescent="0.25">
      <c r="A18" s="47" t="s">
        <v>116</v>
      </c>
      <c r="B18" s="47" t="s">
        <v>142</v>
      </c>
      <c r="C18" s="25" t="s">
        <v>145</v>
      </c>
      <c r="D18" s="51">
        <v>65</v>
      </c>
      <c r="E18" s="51">
        <v>7</v>
      </c>
      <c r="F18" s="51">
        <v>5100</v>
      </c>
      <c r="G18" s="23">
        <v>11200000</v>
      </c>
      <c r="H18" s="23">
        <f t="shared" si="0"/>
        <v>1600000</v>
      </c>
      <c r="I18" s="30">
        <v>0.13</v>
      </c>
      <c r="J18" s="25" t="str">
        <f t="shared" si="1"/>
        <v>Steady Expand</v>
      </c>
    </row>
    <row r="19" spans="1:10" x14ac:dyDescent="0.25">
      <c r="A19" s="15" t="s">
        <v>146</v>
      </c>
      <c r="B19" s="15"/>
      <c r="C19" s="15"/>
      <c r="D19" s="52">
        <f>SUM(D9:D18)</f>
        <v>1285</v>
      </c>
      <c r="E19" s="52">
        <f>SUM(E9:E18)</f>
        <v>118</v>
      </c>
      <c r="F19" s="52">
        <f>SUM(F9:F18)</f>
        <v>94500</v>
      </c>
      <c r="G19" s="16">
        <f>SUM(G9:G18)</f>
        <v>217500000</v>
      </c>
      <c r="H19" s="16">
        <f t="shared" si="0"/>
        <v>1843220.3389830508</v>
      </c>
      <c r="I19" s="18">
        <f>AVERAGE(I9:I18)</f>
        <v>0.158</v>
      </c>
      <c r="J19" s="19" t="str">
        <f>COUNTIF(J9:J18,"High Growth Leader") &amp; " High Growth Cities"</f>
        <v>4 High Growth Cities</v>
      </c>
    </row>
    <row r="21" spans="1:10" ht="15.75" x14ac:dyDescent="0.25">
      <c r="A21" s="3" t="s">
        <v>147</v>
      </c>
    </row>
    <row r="22" spans="1:10" ht="26.1" customHeight="1" x14ac:dyDescent="0.25">
      <c r="A22" s="21" t="s">
        <v>148</v>
      </c>
      <c r="B22" s="21" t="s">
        <v>149</v>
      </c>
      <c r="C22" s="21" t="s">
        <v>150</v>
      </c>
      <c r="D22" s="21" t="s">
        <v>151</v>
      </c>
      <c r="E22" s="21" t="s">
        <v>152</v>
      </c>
      <c r="F22" s="21" t="s">
        <v>153</v>
      </c>
      <c r="G22" s="21" t="s">
        <v>154</v>
      </c>
      <c r="H22" s="21" t="s">
        <v>155</v>
      </c>
      <c r="I22" s="21" t="s">
        <v>156</v>
      </c>
    </row>
    <row r="23" spans="1:10" x14ac:dyDescent="0.25">
      <c r="A23" s="42" t="s">
        <v>157</v>
      </c>
      <c r="B23" s="43" t="s">
        <v>158</v>
      </c>
      <c r="C23" s="43" t="s">
        <v>159</v>
      </c>
      <c r="D23" s="50">
        <v>18</v>
      </c>
      <c r="E23" s="50">
        <v>25</v>
      </c>
      <c r="F23" s="50">
        <v>50</v>
      </c>
      <c r="G23" s="44">
        <v>18500</v>
      </c>
      <c r="H23" s="44">
        <f t="shared" ref="H23:H32" si="2">D23*G23</f>
        <v>333000</v>
      </c>
      <c r="I23" s="42" t="str">
        <f t="shared" ref="I23:I32" si="3">IF(D23&lt;=E23,"CRITICAL - REORDER NOW",IF(D23&lt;=E23*1.25,"LOW STOCK - MONITOR","OPTIMAL STOCK"))</f>
        <v>CRITICAL - REORDER NOW</v>
      </c>
    </row>
    <row r="24" spans="1:10" x14ac:dyDescent="0.25">
      <c r="A24" s="25" t="s">
        <v>160</v>
      </c>
      <c r="B24" s="47" t="s">
        <v>161</v>
      </c>
      <c r="C24" s="47" t="s">
        <v>162</v>
      </c>
      <c r="D24" s="51">
        <v>42</v>
      </c>
      <c r="E24" s="51">
        <v>30</v>
      </c>
      <c r="F24" s="51">
        <v>40</v>
      </c>
      <c r="G24" s="23">
        <v>12000</v>
      </c>
      <c r="H24" s="23">
        <f t="shared" si="2"/>
        <v>504000</v>
      </c>
      <c r="I24" s="25" t="str">
        <f t="shared" si="3"/>
        <v>OPTIMAL STOCK</v>
      </c>
    </row>
    <row r="25" spans="1:10" x14ac:dyDescent="0.25">
      <c r="A25" s="42" t="s">
        <v>163</v>
      </c>
      <c r="B25" s="43" t="s">
        <v>164</v>
      </c>
      <c r="C25" s="43" t="s">
        <v>165</v>
      </c>
      <c r="D25" s="50">
        <v>110</v>
      </c>
      <c r="E25" s="50">
        <v>80</v>
      </c>
      <c r="F25" s="50">
        <v>100</v>
      </c>
      <c r="G25" s="44">
        <v>4500</v>
      </c>
      <c r="H25" s="44">
        <f t="shared" si="2"/>
        <v>495000</v>
      </c>
      <c r="I25" s="42" t="str">
        <f t="shared" si="3"/>
        <v>OPTIMAL STOCK</v>
      </c>
    </row>
    <row r="26" spans="1:10" x14ac:dyDescent="0.25">
      <c r="A26" s="25" t="s">
        <v>166</v>
      </c>
      <c r="B26" s="47" t="s">
        <v>167</v>
      </c>
      <c r="C26" s="47" t="s">
        <v>168</v>
      </c>
      <c r="D26" s="51">
        <v>25</v>
      </c>
      <c r="E26" s="51">
        <v>40</v>
      </c>
      <c r="F26" s="51">
        <v>75</v>
      </c>
      <c r="G26" s="23">
        <v>2800</v>
      </c>
      <c r="H26" s="23">
        <f t="shared" si="2"/>
        <v>70000</v>
      </c>
      <c r="I26" s="25" t="str">
        <f t="shared" si="3"/>
        <v>CRITICAL - REORDER NOW</v>
      </c>
    </row>
    <row r="27" spans="1:10" x14ac:dyDescent="0.25">
      <c r="A27" s="42" t="s">
        <v>169</v>
      </c>
      <c r="B27" s="43" t="s">
        <v>170</v>
      </c>
      <c r="C27" s="43" t="s">
        <v>171</v>
      </c>
      <c r="D27" s="50">
        <v>65</v>
      </c>
      <c r="E27" s="50">
        <v>50</v>
      </c>
      <c r="F27" s="50">
        <v>60</v>
      </c>
      <c r="G27" s="44">
        <v>3200</v>
      </c>
      <c r="H27" s="44">
        <f t="shared" si="2"/>
        <v>208000</v>
      </c>
      <c r="I27" s="42" t="str">
        <f t="shared" si="3"/>
        <v>OPTIMAL STOCK</v>
      </c>
    </row>
    <row r="28" spans="1:10" x14ac:dyDescent="0.25">
      <c r="A28" s="25" t="s">
        <v>172</v>
      </c>
      <c r="B28" s="47" t="s">
        <v>173</v>
      </c>
      <c r="C28" s="47" t="s">
        <v>174</v>
      </c>
      <c r="D28" s="51">
        <v>210</v>
      </c>
      <c r="E28" s="51">
        <v>150</v>
      </c>
      <c r="F28" s="51">
        <v>200</v>
      </c>
      <c r="G28" s="23">
        <v>850</v>
      </c>
      <c r="H28" s="23">
        <f t="shared" si="2"/>
        <v>178500</v>
      </c>
      <c r="I28" s="25" t="str">
        <f t="shared" si="3"/>
        <v>OPTIMAL STOCK</v>
      </c>
    </row>
    <row r="29" spans="1:10" x14ac:dyDescent="0.25">
      <c r="A29" s="42" t="s">
        <v>175</v>
      </c>
      <c r="B29" s="43" t="s">
        <v>176</v>
      </c>
      <c r="C29" s="43" t="s">
        <v>177</v>
      </c>
      <c r="D29" s="50">
        <v>35</v>
      </c>
      <c r="E29" s="50">
        <v>45</v>
      </c>
      <c r="F29" s="50">
        <v>80</v>
      </c>
      <c r="G29" s="44">
        <v>2200</v>
      </c>
      <c r="H29" s="44">
        <f t="shared" si="2"/>
        <v>77000</v>
      </c>
      <c r="I29" s="42" t="str">
        <f t="shared" si="3"/>
        <v>CRITICAL - REORDER NOW</v>
      </c>
    </row>
    <row r="30" spans="1:10" x14ac:dyDescent="0.25">
      <c r="A30" s="25" t="s">
        <v>178</v>
      </c>
      <c r="B30" s="47" t="s">
        <v>179</v>
      </c>
      <c r="C30" s="47" t="s">
        <v>180</v>
      </c>
      <c r="D30" s="51">
        <v>85</v>
      </c>
      <c r="E30" s="51">
        <v>60</v>
      </c>
      <c r="F30" s="51">
        <v>100</v>
      </c>
      <c r="G30" s="23">
        <v>1150</v>
      </c>
      <c r="H30" s="23">
        <f t="shared" si="2"/>
        <v>97750</v>
      </c>
      <c r="I30" s="25" t="str">
        <f t="shared" si="3"/>
        <v>OPTIMAL STOCK</v>
      </c>
    </row>
    <row r="31" spans="1:10" x14ac:dyDescent="0.25">
      <c r="A31" s="42" t="s">
        <v>181</v>
      </c>
      <c r="B31" s="43" t="s">
        <v>182</v>
      </c>
      <c r="C31" s="43" t="s">
        <v>183</v>
      </c>
      <c r="D31" s="50">
        <v>18</v>
      </c>
      <c r="E31" s="50">
        <v>30</v>
      </c>
      <c r="F31" s="50">
        <v>50</v>
      </c>
      <c r="G31" s="44">
        <v>3800</v>
      </c>
      <c r="H31" s="44">
        <f t="shared" si="2"/>
        <v>68400</v>
      </c>
      <c r="I31" s="42" t="str">
        <f t="shared" si="3"/>
        <v>CRITICAL - REORDER NOW</v>
      </c>
    </row>
    <row r="32" spans="1:10" x14ac:dyDescent="0.25">
      <c r="A32" s="25" t="s">
        <v>184</v>
      </c>
      <c r="B32" s="47" t="s">
        <v>185</v>
      </c>
      <c r="C32" s="47" t="s">
        <v>186</v>
      </c>
      <c r="D32" s="51">
        <v>48</v>
      </c>
      <c r="E32" s="51">
        <v>35</v>
      </c>
      <c r="F32" s="51">
        <v>60</v>
      </c>
      <c r="G32" s="23">
        <v>2900</v>
      </c>
      <c r="H32" s="23">
        <f t="shared" si="2"/>
        <v>139200</v>
      </c>
      <c r="I32" s="25" t="str">
        <f t="shared" si="3"/>
        <v>OPTIMAL STOCK</v>
      </c>
    </row>
    <row r="33" spans="1:9" x14ac:dyDescent="0.25">
      <c r="A33" s="15" t="s">
        <v>187</v>
      </c>
      <c r="B33" s="15"/>
      <c r="C33" s="15"/>
      <c r="D33" s="52">
        <f>SUM(D23:D32)</f>
        <v>656</v>
      </c>
      <c r="E33" s="15"/>
      <c r="F33" s="15"/>
      <c r="G33" s="15"/>
      <c r="H33" s="16">
        <f>SUM(H23:H32)</f>
        <v>2170850</v>
      </c>
      <c r="I33" s="19" t="str">
        <f>COUNTIF(I23:I32,"CRITICAL - REORDER NOW") &amp; " Critical Items"</f>
        <v>4 Critical Items</v>
      </c>
    </row>
  </sheetData>
  <conditionalFormatting sqref="I23:I32">
    <cfRule type="cellIs" dxfId="2" priority="1" stopIfTrue="1" operator="equal">
      <formula>"CRITICAL - REORDER NOW"</formula>
    </cfRule>
    <cfRule type="cellIs" dxfId="1" priority="2" stopIfTrue="1" operator="equal">
      <formula>"LOW STOCK - MONITOR"</formula>
    </cfRule>
    <cfRule type="cellIs" dxfId="0" priority="3" stopIfTrue="1" operator="equal">
      <formula>"OPTIMAL STOCK"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tabSelected="1" workbookViewId="0">
      <selection activeCell="N14" sqref="N14"/>
    </sheetView>
  </sheetViews>
  <sheetFormatPr defaultRowHeight="15" x14ac:dyDescent="0.25"/>
  <cols>
    <col min="1" max="1" width="8" customWidth="1"/>
    <col min="2" max="2" width="24" customWidth="1"/>
    <col min="3" max="4" width="18" customWidth="1"/>
    <col min="5" max="5" width="24" customWidth="1"/>
    <col min="6" max="6" width="4" customWidth="1"/>
    <col min="7" max="7" width="8" customWidth="1"/>
    <col min="8" max="9" width="20" customWidth="1"/>
    <col min="10" max="10" width="24" customWidth="1"/>
    <col min="11" max="11" width="18" customWidth="1"/>
  </cols>
  <sheetData>
    <row r="1" spans="1:11" ht="21" x14ac:dyDescent="0.35">
      <c r="A1" s="1" t="s">
        <v>206</v>
      </c>
    </row>
    <row r="2" spans="1:11" x14ac:dyDescent="0.25">
      <c r="A2" s="2" t="s">
        <v>188</v>
      </c>
    </row>
    <row r="4" spans="1:11" x14ac:dyDescent="0.25">
      <c r="A4" s="60" t="s">
        <v>189</v>
      </c>
      <c r="B4" s="61"/>
      <c r="C4" s="60" t="s">
        <v>190</v>
      </c>
      <c r="D4" s="61"/>
      <c r="E4" s="60" t="s">
        <v>191</v>
      </c>
      <c r="F4" s="61"/>
      <c r="G4" s="60" t="s">
        <v>192</v>
      </c>
      <c r="H4" s="61"/>
      <c r="I4" s="60" t="s">
        <v>193</v>
      </c>
      <c r="J4" s="61"/>
    </row>
    <row r="5" spans="1:11" ht="15.75" x14ac:dyDescent="0.25">
      <c r="A5" s="63">
        <f>IBC_Sales_and_Geography!G19</f>
        <v>217500000</v>
      </c>
      <c r="B5" s="61"/>
      <c r="C5" s="62" t="s">
        <v>194</v>
      </c>
      <c r="D5" s="61"/>
      <c r="E5" s="64">
        <f>IBC_Employee_Performance!G5</f>
        <v>12</v>
      </c>
      <c r="F5" s="61"/>
      <c r="G5" s="63">
        <f>IBC_Employee_Performance!I5</f>
        <v>750400</v>
      </c>
      <c r="H5" s="61"/>
      <c r="I5" s="62" t="str">
        <f>IBC_Sales_and_Geography!I33</f>
        <v>4 Critical Items</v>
      </c>
      <c r="J5" s="61"/>
    </row>
    <row r="7" spans="1:11" ht="15.75" x14ac:dyDescent="0.25">
      <c r="A7" s="3" t="s">
        <v>195</v>
      </c>
      <c r="G7" s="3" t="s">
        <v>196</v>
      </c>
    </row>
    <row r="8" spans="1:11" ht="24" customHeight="1" x14ac:dyDescent="0.25">
      <c r="A8" s="53" t="s">
        <v>197</v>
      </c>
      <c r="B8" s="53" t="s">
        <v>198</v>
      </c>
      <c r="C8" s="53" t="s">
        <v>199</v>
      </c>
      <c r="D8" s="53" t="s">
        <v>71</v>
      </c>
      <c r="E8" s="53" t="s">
        <v>75</v>
      </c>
      <c r="G8" s="54" t="s">
        <v>197</v>
      </c>
      <c r="H8" s="54" t="s">
        <v>200</v>
      </c>
      <c r="I8" s="54" t="s">
        <v>201</v>
      </c>
      <c r="J8" s="54" t="s">
        <v>132</v>
      </c>
      <c r="K8" s="54" t="s">
        <v>134</v>
      </c>
    </row>
    <row r="9" spans="1:11" x14ac:dyDescent="0.25">
      <c r="A9" s="55">
        <v>1</v>
      </c>
      <c r="B9" s="55" t="str">
        <f>IBC_Employee_Performance!B10</f>
        <v>Priya Nair</v>
      </c>
      <c r="C9" s="55" t="str">
        <f>IBC_Employee_Performance!D10</f>
        <v>Bengaluru</v>
      </c>
      <c r="D9" s="13">
        <f>IBC_Employee_Performance!G10</f>
        <v>1.1200000000000001</v>
      </c>
      <c r="E9" s="56" t="str">
        <f>IBC_Employee_Performance!K10</f>
        <v>Top Performer</v>
      </c>
      <c r="G9" s="55">
        <v>1</v>
      </c>
      <c r="H9" s="55" t="str">
        <f>IBC_Sales_and_Geography!A10</f>
        <v>Delhi NCR</v>
      </c>
      <c r="I9" s="55" t="str">
        <f>IBC_Sales_and_Geography!B10</f>
        <v>Delhi</v>
      </c>
      <c r="J9" s="11">
        <f>IBC_Sales_and_Geography!G10</f>
        <v>38500000</v>
      </c>
      <c r="K9" s="13">
        <f>IBC_Sales_and_Geography!I10</f>
        <v>0.15</v>
      </c>
    </row>
    <row r="10" spans="1:11" x14ac:dyDescent="0.25">
      <c r="A10" s="57">
        <v>2</v>
      </c>
      <c r="B10" s="57" t="str">
        <f>IBC_Employee_Performance!B19</f>
        <v>Karthik Rajan</v>
      </c>
      <c r="C10" s="57" t="str">
        <f>IBC_Employee_Performance!D19</f>
        <v>Bengaluru</v>
      </c>
      <c r="D10" s="8">
        <f>IBC_Employee_Performance!G19</f>
        <v>1.1000000000000001</v>
      </c>
      <c r="E10" s="56" t="str">
        <f>IBC_Employee_Performance!K19</f>
        <v>Top Performer</v>
      </c>
      <c r="G10" s="57">
        <v>2</v>
      </c>
      <c r="H10" s="57" t="str">
        <f>IBC_Sales_and_Geography!A9</f>
        <v>Mumbai</v>
      </c>
      <c r="I10" s="57" t="str">
        <f>IBC_Sales_and_Geography!B9</f>
        <v>Maharashtra</v>
      </c>
      <c r="J10" s="6">
        <f>IBC_Sales_and_Geography!G9</f>
        <v>34800000</v>
      </c>
      <c r="K10" s="8">
        <f>IBC_Sales_and_Geography!I9</f>
        <v>0.18</v>
      </c>
    </row>
    <row r="11" spans="1:11" x14ac:dyDescent="0.25">
      <c r="A11" s="55">
        <v>3</v>
      </c>
      <c r="B11" s="55" t="str">
        <f>IBC_Employee_Performance!B15</f>
        <v>Pooja Iyer</v>
      </c>
      <c r="C11" s="55" t="str">
        <f>IBC_Employee_Performance!D15</f>
        <v>Chennai</v>
      </c>
      <c r="D11" s="13">
        <f>IBC_Employee_Performance!G15</f>
        <v>1.1000000000000001</v>
      </c>
      <c r="E11" s="56" t="str">
        <f>IBC_Employee_Performance!K15</f>
        <v>Top Performer</v>
      </c>
      <c r="G11" s="55">
        <v>3</v>
      </c>
      <c r="H11" s="55" t="str">
        <f>IBC_Sales_and_Geography!A11</f>
        <v>Bengaluru</v>
      </c>
      <c r="I11" s="55" t="str">
        <f>IBC_Sales_and_Geography!B11</f>
        <v>Karnataka</v>
      </c>
      <c r="J11" s="11">
        <f>IBC_Sales_and_Geography!G11</f>
        <v>29600000</v>
      </c>
      <c r="K11" s="13">
        <f>IBC_Sales_and_Geography!I11</f>
        <v>0.22</v>
      </c>
    </row>
    <row r="12" spans="1:11" x14ac:dyDescent="0.25">
      <c r="A12" s="57">
        <v>4</v>
      </c>
      <c r="B12" s="57" t="str">
        <f>IBC_Employee_Performance!B9</f>
        <v>Aarav Sharma</v>
      </c>
      <c r="C12" s="57" t="str">
        <f>IBC_Employee_Performance!D9</f>
        <v>Mumbai</v>
      </c>
      <c r="D12" s="8">
        <f>IBC_Employee_Performance!G9</f>
        <v>1.1499999999999999</v>
      </c>
      <c r="E12" s="56" t="str">
        <f>IBC_Employee_Performance!K9</f>
        <v>Top Performer</v>
      </c>
      <c r="G12" s="57">
        <v>4</v>
      </c>
      <c r="H12" s="57" t="str">
        <f>IBC_Sales_and_Geography!A13</f>
        <v>Hyderabad</v>
      </c>
      <c r="I12" s="57" t="str">
        <f>IBC_Sales_and_Geography!B13</f>
        <v>Telangana</v>
      </c>
      <c r="J12" s="6">
        <f>IBC_Sales_and_Geography!G13</f>
        <v>23200000</v>
      </c>
      <c r="K12" s="8">
        <f>IBC_Sales_and_Geography!I13</f>
        <v>0.21</v>
      </c>
    </row>
    <row r="13" spans="1:11" x14ac:dyDescent="0.25">
      <c r="A13" s="55">
        <v>5</v>
      </c>
      <c r="B13" s="55" t="str">
        <f>IBC_Employee_Performance!B13</f>
        <v>Aditya Verma</v>
      </c>
      <c r="C13" s="55" t="str">
        <f>IBC_Employee_Performance!D13</f>
        <v>Delhi</v>
      </c>
      <c r="D13" s="13">
        <f>IBC_Employee_Performance!G13</f>
        <v>1.08</v>
      </c>
      <c r="E13" s="56" t="str">
        <f>IBC_Employee_Performance!K13</f>
        <v>Top Performer</v>
      </c>
      <c r="G13" s="55">
        <v>5</v>
      </c>
      <c r="H13" s="55" t="str">
        <f>IBC_Sales_and_Geography!A14</f>
        <v>Chennai</v>
      </c>
      <c r="I13" s="55" t="str">
        <f>IBC_Sales_and_Geography!B14</f>
        <v>Tamil Nadu</v>
      </c>
      <c r="J13" s="11">
        <f>IBC_Sales_and_Geography!G14</f>
        <v>21800000</v>
      </c>
      <c r="K13" s="13">
        <f>IBC_Sales_and_Geography!I14</f>
        <v>0.14000000000000001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A4_Budget_vs_Actual</vt:lpstr>
      <vt:lpstr>A4_Monthly_Trend</vt:lpstr>
      <vt:lpstr>IBC_Employee_Performance</vt:lpstr>
      <vt:lpstr>IBC_Sales_and_Geography</vt:lpstr>
      <vt:lpstr>IBC_Executive_Dashboard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Patil</cp:lastModifiedBy>
  <dcterms:created xsi:type="dcterms:W3CDTF">2026-07-29T16:26:38Z</dcterms:created>
  <dcterms:modified xsi:type="dcterms:W3CDTF">2026-07-29T16:29:14Z</dcterms:modified>
</cp:coreProperties>
</file>