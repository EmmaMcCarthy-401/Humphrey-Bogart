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MCA\Assignments\SYMCA\Sem-3\AE\Assignment-1\"/>
    </mc:Choice>
  </mc:AlternateContent>
  <xr:revisionPtr revIDLastSave="0" documentId="13_ncr:1_{E88AB38E-61E3-41A1-8B34-584A71F3C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Employee Appraisal Logic" sheetId="1" r:id="rId1"/>
    <sheet name="2. Student Result Processing" sheetId="2" r:id="rId2"/>
    <sheet name="3. Ticket Priority Analyzer" sheetId="3" r:id="rId3"/>
    <sheet name="4. Sales Incentive Calculator" sheetId="4" r:id="rId4"/>
    <sheet name="5. Price Retrieval INDEX-MATCH" sheetId="5" r:id="rId5"/>
    <sheet name="6. Library Text Analysis" sheetId="6" r:id="rId6"/>
    <sheet name="7. Invoice Standardization" sheetId="7" r:id="rId7"/>
    <sheet name="8. Project Deadline Tracker" sheetId="8" r:id="rId8"/>
    <sheet name="9. Employee Service Tenure" sheetId="9" r:id="rId9"/>
    <sheet name="10. Error-Proof Lookup" sheetId="10" r:id="rId10"/>
    <sheet name="11. Salary Analysis IFs" sheetId="11" r:id="rId11"/>
    <sheet name="12. Attendance Risk Analysis" sheetId="12" r:id="rId12"/>
    <sheet name="13. Monthly Expense Review" sheetId="13" r:id="rId13"/>
    <sheet name="14. Regional Sales Compariso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4" l="1"/>
  <c r="D19" i="14"/>
  <c r="H17" i="14"/>
  <c r="E17" i="14"/>
  <c r="F17" i="14" s="1"/>
  <c r="G17" i="14" s="1"/>
  <c r="I17" i="14" s="1"/>
  <c r="H16" i="14"/>
  <c r="E16" i="14"/>
  <c r="F16" i="14" s="1"/>
  <c r="G16" i="14" s="1"/>
  <c r="I16" i="14" s="1"/>
  <c r="H15" i="14"/>
  <c r="E15" i="14"/>
  <c r="F15" i="14" s="1"/>
  <c r="G15" i="14" s="1"/>
  <c r="I15" i="14" s="1"/>
  <c r="H14" i="14"/>
  <c r="E14" i="14"/>
  <c r="F14" i="14" s="1"/>
  <c r="G14" i="14" s="1"/>
  <c r="I14" i="14" s="1"/>
  <c r="H13" i="14"/>
  <c r="E13" i="14"/>
  <c r="F13" i="14" s="1"/>
  <c r="G13" i="14" s="1"/>
  <c r="I13" i="14" s="1"/>
  <c r="H12" i="14"/>
  <c r="E12" i="14"/>
  <c r="F12" i="14" s="1"/>
  <c r="G12" i="14" s="1"/>
  <c r="I12" i="14" s="1"/>
  <c r="H11" i="14"/>
  <c r="E11" i="14"/>
  <c r="F11" i="14" s="1"/>
  <c r="G11" i="14" s="1"/>
  <c r="I11" i="14" s="1"/>
  <c r="H10" i="14"/>
  <c r="E10" i="14"/>
  <c r="F10" i="14" s="1"/>
  <c r="G10" i="14" s="1"/>
  <c r="I10" i="14" s="1"/>
  <c r="H9" i="14"/>
  <c r="E9" i="14"/>
  <c r="F9" i="14" s="1"/>
  <c r="G9" i="14" s="1"/>
  <c r="I9" i="14" s="1"/>
  <c r="H8" i="14"/>
  <c r="E8" i="14"/>
  <c r="F8" i="14" s="1"/>
  <c r="G8" i="14" s="1"/>
  <c r="I8" i="14" s="1"/>
  <c r="C24" i="13"/>
  <c r="C23" i="13"/>
  <c r="C22" i="13"/>
  <c r="C21" i="13"/>
  <c r="E17" i="13"/>
  <c r="G17" i="13" s="1"/>
  <c r="H17" i="13" s="1"/>
  <c r="E16" i="13"/>
  <c r="G16" i="13" s="1"/>
  <c r="H16" i="13" s="1"/>
  <c r="E15" i="13"/>
  <c r="G15" i="13" s="1"/>
  <c r="H15" i="13" s="1"/>
  <c r="E14" i="13"/>
  <c r="G14" i="13" s="1"/>
  <c r="H14" i="13" s="1"/>
  <c r="E13" i="13"/>
  <c r="E12" i="13"/>
  <c r="G12" i="13" s="1"/>
  <c r="H12" i="13" s="1"/>
  <c r="E11" i="13"/>
  <c r="E10" i="13"/>
  <c r="G10" i="13" s="1"/>
  <c r="H10" i="13" s="1"/>
  <c r="E9" i="13"/>
  <c r="E8" i="13"/>
  <c r="E17" i="12"/>
  <c r="E16" i="12"/>
  <c r="E15" i="12"/>
  <c r="E14" i="12"/>
  <c r="E13" i="12"/>
  <c r="E12" i="12"/>
  <c r="E11" i="12"/>
  <c r="E10" i="12"/>
  <c r="E9" i="12"/>
  <c r="E8" i="12"/>
  <c r="F23" i="11"/>
  <c r="F22" i="11"/>
  <c r="F21" i="11"/>
  <c r="F20" i="11"/>
  <c r="F19" i="11"/>
  <c r="F18" i="11"/>
  <c r="F17" i="11"/>
  <c r="F16" i="11"/>
  <c r="F15" i="11"/>
  <c r="F14" i="11"/>
  <c r="D11" i="11"/>
  <c r="C11" i="11"/>
  <c r="D10" i="11"/>
  <c r="C10" i="11"/>
  <c r="D9" i="11"/>
  <c r="C9" i="11"/>
  <c r="C12" i="10"/>
  <c r="C11" i="10"/>
  <c r="C10" i="10"/>
  <c r="C9" i="10"/>
  <c r="F17" i="9"/>
  <c r="E17" i="9"/>
  <c r="F16" i="9"/>
  <c r="E16" i="9"/>
  <c r="F15" i="9"/>
  <c r="E15" i="9"/>
  <c r="F14" i="9"/>
  <c r="E14" i="9"/>
  <c r="I13" i="9"/>
  <c r="F13" i="9"/>
  <c r="E13" i="9"/>
  <c r="F12" i="9"/>
  <c r="E12" i="9"/>
  <c r="F11" i="9"/>
  <c r="E11" i="9"/>
  <c r="F10" i="9"/>
  <c r="E10" i="9"/>
  <c r="F9" i="9"/>
  <c r="E9" i="9"/>
  <c r="F8" i="9"/>
  <c r="E8" i="9"/>
  <c r="H17" i="8"/>
  <c r="G17" i="8"/>
  <c r="I17" i="8" s="1"/>
  <c r="J17" i="8" s="1"/>
  <c r="F17" i="8"/>
  <c r="H16" i="8"/>
  <c r="G16" i="8"/>
  <c r="I16" i="8" s="1"/>
  <c r="J16" i="8" s="1"/>
  <c r="F16" i="8"/>
  <c r="H15" i="8"/>
  <c r="G15" i="8"/>
  <c r="I15" i="8" s="1"/>
  <c r="J15" i="8" s="1"/>
  <c r="F15" i="8"/>
  <c r="H14" i="8"/>
  <c r="G14" i="8"/>
  <c r="I14" i="8" s="1"/>
  <c r="J14" i="8" s="1"/>
  <c r="F14" i="8"/>
  <c r="H13" i="8"/>
  <c r="G13" i="8"/>
  <c r="I13" i="8" s="1"/>
  <c r="J13" i="8" s="1"/>
  <c r="F13" i="8"/>
  <c r="H12" i="8"/>
  <c r="G12" i="8"/>
  <c r="I12" i="8" s="1"/>
  <c r="J12" i="8" s="1"/>
  <c r="F12" i="8"/>
  <c r="H11" i="8"/>
  <c r="G11" i="8"/>
  <c r="I11" i="8" s="1"/>
  <c r="J11" i="8" s="1"/>
  <c r="F11" i="8"/>
  <c r="H10" i="8"/>
  <c r="G10" i="8"/>
  <c r="I10" i="8" s="1"/>
  <c r="J10" i="8" s="1"/>
  <c r="F10" i="8"/>
  <c r="H9" i="8"/>
  <c r="G9" i="8"/>
  <c r="I9" i="8" s="1"/>
  <c r="J9" i="8" s="1"/>
  <c r="F9" i="8"/>
  <c r="H8" i="8"/>
  <c r="G8" i="8"/>
  <c r="I8" i="8" s="1"/>
  <c r="J8" i="8" s="1"/>
  <c r="F8" i="8"/>
  <c r="C17" i="7"/>
  <c r="C16" i="7"/>
  <c r="C15" i="7"/>
  <c r="C14" i="7"/>
  <c r="C13" i="7"/>
  <c r="C12" i="7"/>
  <c r="C11" i="7"/>
  <c r="C10" i="7"/>
  <c r="C9" i="7"/>
  <c r="C8" i="7"/>
  <c r="F17" i="6"/>
  <c r="G17" i="6" s="1"/>
  <c r="E17" i="6"/>
  <c r="D17" i="6"/>
  <c r="F16" i="6"/>
  <c r="G16" i="6" s="1"/>
  <c r="E16" i="6"/>
  <c r="D16" i="6"/>
  <c r="F15" i="6"/>
  <c r="G15" i="6" s="1"/>
  <c r="E15" i="6"/>
  <c r="D15" i="6"/>
  <c r="F14" i="6"/>
  <c r="G14" i="6" s="1"/>
  <c r="E14" i="6"/>
  <c r="D14" i="6"/>
  <c r="F13" i="6"/>
  <c r="G13" i="6" s="1"/>
  <c r="E13" i="6"/>
  <c r="D13" i="6"/>
  <c r="F12" i="6"/>
  <c r="G12" i="6" s="1"/>
  <c r="E12" i="6"/>
  <c r="D12" i="6"/>
  <c r="F11" i="6"/>
  <c r="G11" i="6" s="1"/>
  <c r="E11" i="6"/>
  <c r="D11" i="6"/>
  <c r="F10" i="6"/>
  <c r="G10" i="6" s="1"/>
  <c r="E10" i="6"/>
  <c r="D10" i="6"/>
  <c r="F9" i="6"/>
  <c r="G9" i="6" s="1"/>
  <c r="E9" i="6"/>
  <c r="D9" i="6"/>
  <c r="F8" i="6"/>
  <c r="G8" i="6" s="1"/>
  <c r="E8" i="6"/>
  <c r="D8" i="6"/>
  <c r="C11" i="5"/>
  <c r="C10" i="5"/>
  <c r="C9" i="5"/>
  <c r="D17" i="4"/>
  <c r="D16" i="4"/>
  <c r="D15" i="4"/>
  <c r="D14" i="4"/>
  <c r="D13" i="4"/>
  <c r="D12" i="4"/>
  <c r="D11" i="4"/>
  <c r="D10" i="4"/>
  <c r="D9" i="4"/>
  <c r="D8" i="4"/>
  <c r="G17" i="3"/>
  <c r="G16" i="3"/>
  <c r="G15" i="3"/>
  <c r="G14" i="3"/>
  <c r="G13" i="3"/>
  <c r="G12" i="3"/>
  <c r="G11" i="3"/>
  <c r="G10" i="3"/>
  <c r="G9" i="3"/>
  <c r="G8" i="3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F17" i="1"/>
  <c r="F16" i="1"/>
  <c r="F15" i="1"/>
  <c r="F14" i="1"/>
  <c r="F13" i="1"/>
  <c r="F12" i="1"/>
  <c r="F11" i="1"/>
  <c r="F10" i="1"/>
  <c r="F9" i="1"/>
  <c r="F8" i="1"/>
  <c r="G13" i="13" l="1"/>
  <c r="H13" i="13" s="1"/>
  <c r="B24" i="13"/>
  <c r="D24" i="13" s="1"/>
  <c r="G11" i="13"/>
  <c r="H11" i="13" s="1"/>
  <c r="B23" i="13"/>
  <c r="D23" i="13" s="1"/>
  <c r="G9" i="13"/>
  <c r="H9" i="13" s="1"/>
  <c r="B22" i="13"/>
  <c r="D22" i="13" s="1"/>
  <c r="G8" i="13"/>
  <c r="H8" i="13" s="1"/>
  <c r="B21" i="13"/>
  <c r="D21" i="13" s="1"/>
  <c r="G17" i="12"/>
  <c r="F17" i="12"/>
  <c r="H17" i="12" s="1"/>
  <c r="G16" i="12"/>
  <c r="F16" i="12"/>
  <c r="H16" i="12" s="1"/>
  <c r="G15" i="12"/>
  <c r="F15" i="12"/>
  <c r="H15" i="12" s="1"/>
  <c r="G14" i="12"/>
  <c r="F14" i="12"/>
  <c r="H14" i="12" s="1"/>
  <c r="G13" i="12"/>
  <c r="F13" i="12"/>
  <c r="H13" i="12" s="1"/>
  <c r="F12" i="12"/>
  <c r="H12" i="12" s="1"/>
  <c r="G12" i="12"/>
  <c r="G11" i="12"/>
  <c r="F11" i="12"/>
  <c r="H11" i="12" s="1"/>
  <c r="G10" i="12"/>
  <c r="F10" i="12"/>
  <c r="H10" i="12" s="1"/>
  <c r="F9" i="12"/>
  <c r="H9" i="12" s="1"/>
  <c r="G9" i="12"/>
  <c r="E19" i="12"/>
  <c r="F8" i="12"/>
  <c r="H8" i="12" s="1"/>
  <c r="E20" i="12"/>
  <c r="G8" i="12"/>
  <c r="I17" i="9"/>
  <c r="H17" i="9"/>
  <c r="G17" i="9"/>
  <c r="H16" i="9"/>
  <c r="I16" i="9"/>
  <c r="G16" i="9"/>
  <c r="G15" i="9"/>
  <c r="H15" i="9"/>
  <c r="I15" i="9"/>
  <c r="H14" i="9"/>
  <c r="I14" i="9"/>
  <c r="G14" i="9"/>
  <c r="H13" i="9"/>
  <c r="G13" i="9"/>
  <c r="I12" i="9"/>
  <c r="H12" i="9"/>
  <c r="G12" i="9"/>
  <c r="I11" i="9"/>
  <c r="H11" i="9"/>
  <c r="G11" i="9"/>
  <c r="H10" i="9"/>
  <c r="G10" i="9"/>
  <c r="I10" i="9"/>
  <c r="I9" i="9"/>
  <c r="H9" i="9"/>
  <c r="G9" i="9"/>
  <c r="I8" i="9"/>
  <c r="H8" i="9"/>
  <c r="G8" i="9"/>
  <c r="F17" i="7"/>
  <c r="E17" i="7"/>
  <c r="D17" i="7"/>
  <c r="D16" i="7"/>
  <c r="F16" i="7"/>
  <c r="E16" i="7"/>
  <c r="G16" i="7" s="1"/>
  <c r="H16" i="7" s="1"/>
  <c r="F15" i="7"/>
  <c r="D15" i="7"/>
  <c r="E15" i="7"/>
  <c r="G15" i="7" s="1"/>
  <c r="H15" i="7" s="1"/>
  <c r="D14" i="7"/>
  <c r="E14" i="7"/>
  <c r="G14" i="7" s="1"/>
  <c r="H14" i="7" s="1"/>
  <c r="F14" i="7"/>
  <c r="D13" i="7"/>
  <c r="E13" i="7"/>
  <c r="G13" i="7" s="1"/>
  <c r="H13" i="7" s="1"/>
  <c r="F13" i="7"/>
  <c r="D12" i="7"/>
  <c r="E12" i="7"/>
  <c r="F12" i="7"/>
  <c r="D11" i="7"/>
  <c r="E11" i="7"/>
  <c r="F11" i="7"/>
  <c r="E10" i="7"/>
  <c r="F10" i="7"/>
  <c r="D10" i="7"/>
  <c r="D9" i="7"/>
  <c r="E9" i="7"/>
  <c r="F9" i="7"/>
  <c r="D8" i="7"/>
  <c r="E8" i="7"/>
  <c r="F8" i="7"/>
  <c r="E17" i="4"/>
  <c r="G17" i="4" s="1"/>
  <c r="F17" i="4"/>
  <c r="F16" i="4"/>
  <c r="E16" i="4"/>
  <c r="G16" i="4" s="1"/>
  <c r="E15" i="4"/>
  <c r="G15" i="4" s="1"/>
  <c r="F15" i="4"/>
  <c r="F14" i="4"/>
  <c r="E14" i="4"/>
  <c r="G14" i="4" s="1"/>
  <c r="E13" i="4"/>
  <c r="G13" i="4" s="1"/>
  <c r="F13" i="4"/>
  <c r="E12" i="4"/>
  <c r="G12" i="4" s="1"/>
  <c r="F12" i="4"/>
  <c r="E11" i="4"/>
  <c r="G11" i="4" s="1"/>
  <c r="F11" i="4"/>
  <c r="E10" i="4"/>
  <c r="G10" i="4" s="1"/>
  <c r="F10" i="4"/>
  <c r="F9" i="4"/>
  <c r="E9" i="4"/>
  <c r="G9" i="4" s="1"/>
  <c r="E8" i="4"/>
  <c r="G8" i="4" s="1"/>
  <c r="F8" i="4"/>
  <c r="I17" i="3"/>
  <c r="H17" i="3"/>
  <c r="H16" i="3"/>
  <c r="I16" i="3"/>
  <c r="H15" i="3"/>
  <c r="I15" i="3"/>
  <c r="I14" i="3"/>
  <c r="H14" i="3"/>
  <c r="I13" i="3"/>
  <c r="H13" i="3"/>
  <c r="H12" i="3"/>
  <c r="I12" i="3"/>
  <c r="I11" i="3"/>
  <c r="H11" i="3"/>
  <c r="I10" i="3"/>
  <c r="H10" i="3"/>
  <c r="H9" i="3"/>
  <c r="I9" i="3"/>
  <c r="H8" i="3"/>
  <c r="I8" i="3"/>
  <c r="J17" i="2"/>
  <c r="K17" i="2"/>
  <c r="L17" i="2"/>
  <c r="J16" i="2"/>
  <c r="K16" i="2"/>
  <c r="L16" i="2"/>
  <c r="L15" i="2"/>
  <c r="J15" i="2"/>
  <c r="K15" i="2"/>
  <c r="L14" i="2"/>
  <c r="K14" i="2"/>
  <c r="J14" i="2"/>
  <c r="L13" i="2"/>
  <c r="J13" i="2"/>
  <c r="K13" i="2"/>
  <c r="J12" i="2"/>
  <c r="K12" i="2"/>
  <c r="L12" i="2"/>
  <c r="J11" i="2"/>
  <c r="K11" i="2"/>
  <c r="L11" i="2"/>
  <c r="J10" i="2"/>
  <c r="K10" i="2"/>
  <c r="L10" i="2"/>
  <c r="K9" i="2"/>
  <c r="J9" i="2"/>
  <c r="L9" i="2"/>
  <c r="J8" i="2"/>
  <c r="K8" i="2"/>
  <c r="L8" i="2"/>
  <c r="G17" i="1"/>
  <c r="H17" i="1"/>
  <c r="G16" i="1"/>
  <c r="H16" i="1"/>
  <c r="H15" i="1"/>
  <c r="G15" i="1"/>
  <c r="G14" i="1"/>
  <c r="H14" i="1"/>
  <c r="H13" i="1"/>
  <c r="G13" i="1"/>
  <c r="G12" i="1"/>
  <c r="H12" i="1"/>
  <c r="G11" i="1"/>
  <c r="H11" i="1"/>
  <c r="H10" i="1"/>
  <c r="G10" i="1"/>
  <c r="G9" i="1"/>
  <c r="H9" i="1"/>
  <c r="G8" i="1"/>
  <c r="H8" i="1"/>
  <c r="G17" i="7" l="1"/>
  <c r="H17" i="7" s="1"/>
  <c r="G12" i="7"/>
  <c r="H12" i="7" s="1"/>
  <c r="G11" i="7"/>
  <c r="H11" i="7" s="1"/>
  <c r="G10" i="7"/>
  <c r="H10" i="7" s="1"/>
  <c r="G9" i="7"/>
  <c r="H9" i="7" s="1"/>
  <c r="G8" i="7"/>
  <c r="H8" i="7" s="1"/>
</calcChain>
</file>

<file path=xl/sharedStrings.xml><?xml version="1.0" encoding="utf-8"?>
<sst xmlns="http://schemas.openxmlformats.org/spreadsheetml/2006/main" count="653" uniqueCount="450">
  <si>
    <t>HR APPRAISAL LOGIC &amp; JUSTIFICATION:
• Outstanding: Requires BOTH high performance (Score &gt;= 85) AND high attendance (&gt;= 90%) alongside Completed projects -&gt; =IF(AND(C8&gt;=85, D8&gt;=0.9, E8="Completed"), ...)
• Needs Improvement: Triggers if ANY critical deficit exists (Score &lt; 60 OR Attendance &lt; 75% OR Status = "Overdue") -&gt; =IF(OR(C8&lt;60, D8&lt;0.75, E8="Overdue"), ...)
• Satisfactory: Default middle tier for employees meeting baseline standards without reaching elite benchmarks.</t>
  </si>
  <si>
    <t>Emp ID</t>
  </si>
  <si>
    <t>Employee Name</t>
  </si>
  <si>
    <t>Performance Score (0-100)</t>
  </si>
  <si>
    <t>Attendance %</t>
  </si>
  <si>
    <t>Project Status</t>
  </si>
  <si>
    <t>Appraisal Classification</t>
  </si>
  <si>
    <t>Bonus Eligibility</t>
  </si>
  <si>
    <t>Managerial Note</t>
  </si>
  <si>
    <t>EMP-301</t>
  </si>
  <si>
    <t>Aarav Sharma</t>
  </si>
  <si>
    <t>Completed</t>
  </si>
  <si>
    <t>EMP-302</t>
  </si>
  <si>
    <t>Priya Nair</t>
  </si>
  <si>
    <t>EMP-303</t>
  </si>
  <si>
    <t>Rohan Mehta</t>
  </si>
  <si>
    <t>In Progress</t>
  </si>
  <si>
    <t>EMP-304</t>
  </si>
  <si>
    <t>Ananya Iyer</t>
  </si>
  <si>
    <t>EMP-305</t>
  </si>
  <si>
    <t>Vikram Patel</t>
  </si>
  <si>
    <t>EMP-306</t>
  </si>
  <si>
    <t>Sneha Kulkarni</t>
  </si>
  <si>
    <t>EMP-307</t>
  </si>
  <si>
    <t>Aditya Deshmukh</t>
  </si>
  <si>
    <t>Overdue</t>
  </si>
  <si>
    <t>EMP-308</t>
  </si>
  <si>
    <t>Pooja Hegde</t>
  </si>
  <si>
    <t>EMP-309</t>
  </si>
  <si>
    <t>Siddharth Rao</t>
  </si>
  <si>
    <t>EMP-310</t>
  </si>
  <si>
    <t>Neelam Joshi</t>
  </si>
  <si>
    <t>GRADING &amp; DISTINCTION CASE STUDY NOTE:
• Nested IF Grading: Assigns standard University grades -&gt; O (&gt;=90%), A+ (80-89%), A (70-79%), B+ (60-69%), B (55-59%), C (50-54%), P (&lt;50% or Pass).
• Distinction &amp; Re-evaluation: Identifies Distinction (&gt;=75% with all subjects &gt;=50) and flags Re-evaluation eligibility for scores between 45% and 49%.
• Practical Value: Automates multi-tier academic evaluation across five subjects without manual calculation errors.</t>
  </si>
  <si>
    <t>Roll No</t>
  </si>
  <si>
    <t>Student Name</t>
  </si>
  <si>
    <t>Sub 1: DSA</t>
  </si>
  <si>
    <t>Sub 2: DBMS</t>
  </si>
  <si>
    <t>Sub 3: Java</t>
  </si>
  <si>
    <t>Sub 4: Networking</t>
  </si>
  <si>
    <t>Sub 5: Soft Engg</t>
  </si>
  <si>
    <t>Total Marks (/500)</t>
  </si>
  <si>
    <t>Percentage %</t>
  </si>
  <si>
    <t>Grade (Nested IF)</t>
  </si>
  <si>
    <t>Distinction Status</t>
  </si>
  <si>
    <t>Re-evaluation Flag</t>
  </si>
  <si>
    <t>MCA-101</t>
  </si>
  <si>
    <t>MCA-102</t>
  </si>
  <si>
    <t>MCA-103</t>
  </si>
  <si>
    <t>MCA-104</t>
  </si>
  <si>
    <t>MCA-105</t>
  </si>
  <si>
    <t>MCA-106</t>
  </si>
  <si>
    <t>MCA-107</t>
  </si>
  <si>
    <t>MCA-108</t>
  </si>
  <si>
    <t>MCA-109</t>
  </si>
  <si>
    <t>MCA-110</t>
  </si>
  <si>
    <t>CUSTOMER SERVICE DECISION-MAKING NOTE:
• Priority Classification Logic:
   - High Priority: Assigns if Severity is 'Critical' OR if a ticket is 'Pending' for &gt; 3 days OR Customer Type is 'Enterprise'.
   - Medium Priority: Assigns if Severity is 'Major' OR Pending Days between 2 and 3.
   - Low Priority: Routine 'Minor' or 'Resolved' tickets.
• Operational Value: Enables SLA compliance by automatically escalating stale or high-value enterprise incidents to tier-2 engineers.</t>
  </si>
  <si>
    <t>Ticket ID</t>
  </si>
  <si>
    <t>Customer Name</t>
  </si>
  <si>
    <t>Customer Type</t>
  </si>
  <si>
    <t>Severity</t>
  </si>
  <si>
    <t>Pending Days</t>
  </si>
  <si>
    <t>Resolution Status</t>
  </si>
  <si>
    <t>Priority Label</t>
  </si>
  <si>
    <t>SLA Escalation Flag</t>
  </si>
  <si>
    <t>Assigned Action</t>
  </si>
  <si>
    <t>TKT-501</t>
  </si>
  <si>
    <t>Infosys Ltd</t>
  </si>
  <si>
    <t>Enterprise</t>
  </si>
  <si>
    <t>Critical</t>
  </si>
  <si>
    <t>Open</t>
  </si>
  <si>
    <t>TKT-502</t>
  </si>
  <si>
    <t>Wipro Technologies</t>
  </si>
  <si>
    <t>Minor</t>
  </si>
  <si>
    <t>TKT-503</t>
  </si>
  <si>
    <t>Retail</t>
  </si>
  <si>
    <t>Major</t>
  </si>
  <si>
    <t>TKT-504</t>
  </si>
  <si>
    <t>Resolved</t>
  </si>
  <si>
    <t>TKT-505</t>
  </si>
  <si>
    <t>Tata Consultancy</t>
  </si>
  <si>
    <t>TKT-506</t>
  </si>
  <si>
    <t>TKT-507</t>
  </si>
  <si>
    <t>Mahindra Group</t>
  </si>
  <si>
    <t>TKT-508</t>
  </si>
  <si>
    <t>TKT-509</t>
  </si>
  <si>
    <t>Reliance Retail</t>
  </si>
  <si>
    <t>TKT-510</t>
  </si>
  <si>
    <t>ADVANTAGE OF LOOKUP FUNCTIONS OVER MANUAL ENTRY:
• Approximate Match Lookup: Using VLOOKUP(C8, $K$8:$L$12, 2, TRUE) matches sales against a slab table automatically.
• Scalability &amp; Accuracy: Eliminates tedious manual data entry or fragile multi-nested IF statements when commission slabs change.
• Single Source of Truth: Updating slab percentages in the reference table (Cols K-L) instantly recalculates incentives across the entire sales force.</t>
  </si>
  <si>
    <t>Executive Name</t>
  </si>
  <si>
    <t>Monthly Sales (₹)</t>
  </si>
  <si>
    <t>Slab Rate (VLOOKUP)</t>
  </si>
  <si>
    <t>Final Incentive (₹)</t>
  </si>
  <si>
    <t>Performance Tier</t>
  </si>
  <si>
    <t>Payout Status</t>
  </si>
  <si>
    <t>Sales Slab (₹)</t>
  </si>
  <si>
    <t>Incentive Rate</t>
  </si>
  <si>
    <t>SLS-101</t>
  </si>
  <si>
    <t>SLS-102</t>
  </si>
  <si>
    <t>SLS-103</t>
  </si>
  <si>
    <t>SLS-104</t>
  </si>
  <si>
    <t>SLS-105</t>
  </si>
  <si>
    <t>SLS-106</t>
  </si>
  <si>
    <t>SLS-107</t>
  </si>
  <si>
    <t>SLS-108</t>
  </si>
  <si>
    <t>SLS-109</t>
  </si>
  <si>
    <t>SLS-110</t>
  </si>
  <si>
    <t>WHY INDEX–MATCH IS MORE FLEXIBLE THAN BASIC VLOOKUP:
• Left-to-Right Independence: Unlike VLOOKUP (which requires lookup codes in column 1), INDEX-MATCH can look up values in any column and retrieve values from columns to the left or right.
• Structural Resilience: Adding or deleting columns in the Product Master Table (Rows 12-21) will not break INDEX-MATCH formulas, whereas VLOOKUP breaks if hardcoded column index numbers shift.
• Interactive Case: Enter any Product Code in cell C8 below to dynamically fetch its Price, Supplier, and Category.</t>
  </si>
  <si>
    <t>INTERACTIVE PRODUCT SEARCH DASHBOARD</t>
  </si>
  <si>
    <t>Enter Product Code:</t>
  </si>
  <si>
    <t>PRD-203</t>
  </si>
  <si>
    <t>Retrieved Product Name:</t>
  </si>
  <si>
    <t>Retrieved Supplier Name:</t>
  </si>
  <si>
    <t>Retrieved Price (₹):</t>
  </si>
  <si>
    <t>Product Code</t>
  </si>
  <si>
    <t>Product Name</t>
  </si>
  <si>
    <t>Category</t>
  </si>
  <si>
    <t>Supplier Name</t>
  </si>
  <si>
    <t>Price (₹)</t>
  </si>
  <si>
    <t>Stock Availability</t>
  </si>
  <si>
    <t>PRD-201</t>
  </si>
  <si>
    <t>Enterprise Laptop</t>
  </si>
  <si>
    <t>Electronics</t>
  </si>
  <si>
    <t>Tata Consultancy Services</t>
  </si>
  <si>
    <t>In Stock</t>
  </si>
  <si>
    <t>PRD-202</t>
  </si>
  <si>
    <t>Ergonomic Chair</t>
  </si>
  <si>
    <t>Furniture</t>
  </si>
  <si>
    <t>Godrej Interio</t>
  </si>
  <si>
    <t>Wireless Router</t>
  </si>
  <si>
    <t>Networking</t>
  </si>
  <si>
    <t>D-Link India</t>
  </si>
  <si>
    <t>PRD-204</t>
  </si>
  <si>
    <t>Laser Printer</t>
  </si>
  <si>
    <t>Wipro Peripherals</t>
  </si>
  <si>
    <t>Low Stock</t>
  </si>
  <si>
    <t>PRD-205</t>
  </si>
  <si>
    <t>Office Executive Desk</t>
  </si>
  <si>
    <t>PRD-206</t>
  </si>
  <si>
    <t>Smart Monitor 27inch</t>
  </si>
  <si>
    <t>Samsung India</t>
  </si>
  <si>
    <t>PRD-207</t>
  </si>
  <si>
    <t>Projector 4K</t>
  </si>
  <si>
    <t>BenQ India</t>
  </si>
  <si>
    <t>Out of Stock</t>
  </si>
  <si>
    <t>PRD-208</t>
  </si>
  <si>
    <t>Server Rack 42U</t>
  </si>
  <si>
    <t>Netgear India</t>
  </si>
  <si>
    <t>PRD-209</t>
  </si>
  <si>
    <t>Paper Reams (Box of 10)</t>
  </si>
  <si>
    <t>Stationery</t>
  </si>
  <si>
    <t>JK Paper Ltd</t>
  </si>
  <si>
    <t>PRD-210</t>
  </si>
  <si>
    <t>Biometric Attendance Device</t>
  </si>
  <si>
    <t>ESSL India</t>
  </si>
  <si>
    <t>PRACTICAL IMPORTANCE OF TEXT TRANSFORMATIONS:
• Domain Extraction: Uses =MID(C8, FIND("@", C8)+1, LEN(C8)) to analyze email provider trends and institutional domain compliance.
• LASTNAME, Firstname Format: Uses =UPPER(RIGHT(B8, LEN(B8)-FIND(" ", B8))) &amp; ", " &amp; LEFT(B8, FIND(" ", B8)-1) to standardize library sorting indexes.
• Character Count: Uses =LEN(A8) to validate barcode scanning integrity and spot truncated or invalid Member IDs.</t>
  </si>
  <si>
    <t>Member ID</t>
  </si>
  <si>
    <t>Raw Student Name</t>
  </si>
  <si>
    <t>Email Address</t>
  </si>
  <si>
    <t>Extracted Domain Name</t>
  </si>
  <si>
    <t>Standardized Name (LAST, First)</t>
  </si>
  <si>
    <t>Member ID Length (LEN)</t>
  </si>
  <si>
    <t>ID Format Validity</t>
  </si>
  <si>
    <t>Library Section</t>
  </si>
  <si>
    <t>LIB-1001</t>
  </si>
  <si>
    <t>aarav.sharma@pccoepune.org</t>
  </si>
  <si>
    <t>Computer Science</t>
  </si>
  <si>
    <t>LIB-1002</t>
  </si>
  <si>
    <t>priya.nair@gmail.com</t>
  </si>
  <si>
    <t>Information Technology</t>
  </si>
  <si>
    <t>LIB-1003</t>
  </si>
  <si>
    <t>rohan.mehta@yahoo.co.in</t>
  </si>
  <si>
    <t>Computer Applications</t>
  </si>
  <si>
    <t>LIB-1004</t>
  </si>
  <si>
    <t>ananya.iyer@pccoepune.org</t>
  </si>
  <si>
    <t>LIB-1005</t>
  </si>
  <si>
    <t>vikram.patel@outlook.com</t>
  </si>
  <si>
    <t>Mechanical Engg</t>
  </si>
  <si>
    <t>LIB-1006</t>
  </si>
  <si>
    <t>sneha.k@pccoepune.org</t>
  </si>
  <si>
    <t>LIB-1007</t>
  </si>
  <si>
    <t>aditya.d@gmail.com</t>
  </si>
  <si>
    <t>Electronics Engg</t>
  </si>
  <si>
    <t>LIB-1008</t>
  </si>
  <si>
    <t>pooja.hegde@pccoepune.org</t>
  </si>
  <si>
    <t>LIB-1009</t>
  </si>
  <si>
    <t>siddharth.r@rediffmail.com</t>
  </si>
  <si>
    <t>LIB-1010</t>
  </si>
  <si>
    <t>neelam.j@pccoepune.org</t>
  </si>
  <si>
    <t>ROLE OF EACH TEXT FUNCTION IN INVOICE CLEANING:
• SUBSTITUTE: Standardizes slash delimiters ('/') into hyphens ('-') -&gt; =SUBSTITUTE(B8, "/", "-").
• LEFT / MID: Extracts 3-character City Codes (e.g., PUN, MUM, DEL) regardless of mixed format prefixes.
• RIGHT: Isolates the trailing numeric Serial Number from the string -&gt; =RIGHT(C8, 3).
• Standardized Output: Concatenates clean tokens into a uniform 'INV-YYYY-CITY-NNN' format for ERP accounting integration.</t>
  </si>
  <si>
    <t>Record ID</t>
  </si>
  <si>
    <t>Raw Invoice Entry</t>
  </si>
  <si>
    <t>Step 1: Clean Delimiters (SUBSTITUTE)</t>
  </si>
  <si>
    <t>Extracted City Code (MID/LEFT)</t>
  </si>
  <si>
    <t>Extracted Year</t>
  </si>
  <si>
    <t>Extracted Serial (RIGHT)</t>
  </si>
  <si>
    <t>Standardized Invoice Number</t>
  </si>
  <si>
    <t>ERP Audit Status</t>
  </si>
  <si>
    <t>REC-101</t>
  </si>
  <si>
    <t>INV-2026-PUN-045</t>
  </si>
  <si>
    <t>REC-102</t>
  </si>
  <si>
    <t>BILL/26/MUM/102</t>
  </si>
  <si>
    <t>REC-103</t>
  </si>
  <si>
    <t>INV-2026-DEL-089</t>
  </si>
  <si>
    <t>REC-104</t>
  </si>
  <si>
    <t>BILL/26/BLR/204</t>
  </si>
  <si>
    <t>REC-105</t>
  </si>
  <si>
    <t>INV-2026-HYD-311</t>
  </si>
  <si>
    <t>REC-106</t>
  </si>
  <si>
    <t>BILL/26/PUN/115</t>
  </si>
  <si>
    <t>REC-107</t>
  </si>
  <si>
    <t>INV-2026-CHN-402</t>
  </si>
  <si>
    <t>REC-108</t>
  </si>
  <si>
    <t>BILL/26/MUM/099</t>
  </si>
  <si>
    <t>REC-109</t>
  </si>
  <si>
    <t>INV-2026-KOL-512</t>
  </si>
  <si>
    <t>REC-110</t>
  </si>
  <si>
    <t>BILL/26/DEL/305</t>
  </si>
  <si>
    <t>DATE FUNCTION MONITORING LOGIC:
• Project Age (DATEDIF): Calculates exact days elapsed from Start Date to reference date -&gt; =DATEDIF(D8, $I$6, "d").
• Month-End Review (EOMONTH): Computes statutory month-end financial audit date -&gt; =EOMONTH(E8, 0).
• 7-Day Warning Flag: Uses conditional logic (=AND(F8&gt;=$I$6, F8-$I$6&lt;=7)) to flag projects approaching deadline within the next 7 days in RED.</t>
  </si>
  <si>
    <t>Reference Today Date:</t>
  </si>
  <si>
    <t>Project ID</t>
  </si>
  <si>
    <t>Project Name</t>
  </si>
  <si>
    <t>Lead Manager</t>
  </si>
  <si>
    <t>Start Date</t>
  </si>
  <si>
    <t>Deadline Date</t>
  </si>
  <si>
    <t>Project Age (Days)</t>
  </si>
  <si>
    <t>Remaining Days</t>
  </si>
  <si>
    <t>Month-End Audit (EOMONTH)</t>
  </si>
  <si>
    <t>Urgency Flag</t>
  </si>
  <si>
    <t>Action Required</t>
  </si>
  <si>
    <t>PRJ-401</t>
  </si>
  <si>
    <t>ERP Cloud Migration</t>
  </si>
  <si>
    <t>PRJ-402</t>
  </si>
  <si>
    <t>Mobile Banking UI</t>
  </si>
  <si>
    <t>PRJ-403</t>
  </si>
  <si>
    <t>AI Chatbot Integration</t>
  </si>
  <si>
    <t>PRJ-404</t>
  </si>
  <si>
    <t>Data Warehouse Refresh</t>
  </si>
  <si>
    <t>PRJ-405</t>
  </si>
  <si>
    <t>HR Portal Upgradation</t>
  </si>
  <si>
    <t>PRJ-406</t>
  </si>
  <si>
    <t>Payment Gateway Security</t>
  </si>
  <si>
    <t>PRJ-407</t>
  </si>
  <si>
    <t>Inventory Tracking App</t>
  </si>
  <si>
    <t>PRJ-408</t>
  </si>
  <si>
    <t>CRM Automation</t>
  </si>
  <si>
    <t>PRJ-409</t>
  </si>
  <si>
    <t>Library Management Web</t>
  </si>
  <si>
    <t>PRJ-410</t>
  </si>
  <si>
    <t>Network Firewall Upgrade</t>
  </si>
  <si>
    <t>SERVICE TENURE &amp; MILESTONE ANALYSIS LOGIC:
• Exact Tenure (Years &amp; Months): Uses DATEDIF(D8, $I$6, "y") for completed years and DATEDIF(D8, $I$6, "ym") for remaining months.
• Milestone Recognition: Identifies employees completing exactly 5, 10, or 15 years of service this year -&gt; =IF(OR(E8=5, E8=10, E8=15), ...)
• HR Value: Enables timely service award nominations and gratuity eligibility auditing.</t>
  </si>
  <si>
    <t>Department</t>
  </si>
  <si>
    <t>Date of Joining</t>
  </si>
  <si>
    <t>Completed Years</t>
  </si>
  <si>
    <t>Remaining Months</t>
  </si>
  <si>
    <t>Formatted Tenure (Yrs &amp; Mths)</t>
  </si>
  <si>
    <t>Milestone Award (5/10/15 Yrs)</t>
  </si>
  <si>
    <t>Gratuity Eligibility (&gt;=5 Yrs)</t>
  </si>
  <si>
    <t>EMP-601</t>
  </si>
  <si>
    <t>IT</t>
  </si>
  <si>
    <t>EMP-602</t>
  </si>
  <si>
    <t>HR</t>
  </si>
  <si>
    <t>EMP-603</t>
  </si>
  <si>
    <t>Finance</t>
  </si>
  <si>
    <t>EMP-604</t>
  </si>
  <si>
    <t>Marketing</t>
  </si>
  <si>
    <t>EMP-605</t>
  </si>
  <si>
    <t>Operations</t>
  </si>
  <si>
    <t>EMP-606</t>
  </si>
  <si>
    <t>EMP-607</t>
  </si>
  <si>
    <t>EMP-608</t>
  </si>
  <si>
    <t>EMP-609</t>
  </si>
  <si>
    <t>EMP-610</t>
  </si>
  <si>
    <t>WHY ERROR HANDLING IS ESSENTIAL IN REAL-WORLD SPREADSHEETS:
• Preventing Ugly #N/A Errors: Using =IFERROR(VLOOKUP(...), "Roll Number Not Found in Database") ensures user-friendly interface design.
• Professional Polish: Instead of intimidating audit failures when a user enters a typo, error handling guides users with constructive feedback.
• Try it Below: Enter any valid roll number (e.g., MCA-201) or an invalid code (e.g., MCA-999) in Cell C8 to observe graceful error trapping.</t>
  </si>
  <si>
    <t>STUDENT MASTER SEARCH PANEL</t>
  </si>
  <si>
    <t>Enter Student Roll No:</t>
  </si>
  <si>
    <t>MCA-999</t>
  </si>
  <si>
    <t>Student Full Name:</t>
  </si>
  <si>
    <t>Enrolled Program:</t>
  </si>
  <si>
    <t>Contact Number:</t>
  </si>
  <si>
    <t>Email Address:</t>
  </si>
  <si>
    <t>Roll Number</t>
  </si>
  <si>
    <t>Program</t>
  </si>
  <si>
    <t>Contact Phone</t>
  </si>
  <si>
    <t>Official Email ID</t>
  </si>
  <si>
    <t>MCA-201</t>
  </si>
  <si>
    <t>Master of Computer Apps</t>
  </si>
  <si>
    <t>+91 98230-11223</t>
  </si>
  <si>
    <t>MCA-202</t>
  </si>
  <si>
    <t>+91 98230-11224</t>
  </si>
  <si>
    <t>priya.nair@pccoepune.org</t>
  </si>
  <si>
    <t>MCA-203</t>
  </si>
  <si>
    <t>+91 98230-11225</t>
  </si>
  <si>
    <t>rohan.mehta@pccoepune.org</t>
  </si>
  <si>
    <t>MCA-204</t>
  </si>
  <si>
    <t>+91 98230-11226</t>
  </si>
  <si>
    <t>MCA-205</t>
  </si>
  <si>
    <t>+91 98230-11227</t>
  </si>
  <si>
    <t>vikram.patel@pccoepune.org</t>
  </si>
  <si>
    <t>MCA-206</t>
  </si>
  <si>
    <t>+91 98230-11228</t>
  </si>
  <si>
    <t>sneha.kulkarni@pccoepune.org</t>
  </si>
  <si>
    <t>MCA-207</t>
  </si>
  <si>
    <t>+91 98230-11229</t>
  </si>
  <si>
    <t>aditya.d@pccoepune.org</t>
  </si>
  <si>
    <t>MCA-208</t>
  </si>
  <si>
    <t>+91 98230-11230</t>
  </si>
  <si>
    <t>MCA-209</t>
  </si>
  <si>
    <t>+91 98230-11231</t>
  </si>
  <si>
    <t>siddharth.rao@pccoepune.org</t>
  </si>
  <si>
    <t>MCA-210</t>
  </si>
  <si>
    <t>+91 98230-11232</t>
  </si>
  <si>
    <t>neelam.joshi@pccoepune.org</t>
  </si>
  <si>
    <t>INTERPRETATION OF CONDITIONAL STATISTICAL FUNCTIONS:
• Department Average Salary: =AVERAGEIF(C14:C23, "IT", E14:E23) computes mean compensation by business unit.
• Threshold Headcount: =COUNTIF(E14:E23, "&gt;1000000") identifies high-earning staff exceeding ₹10,00,000 CTC.
• Designation Payout: =SUMIF(D14:D23, "Senior Engineer", E14:E23) aggregates total payroll obligation for selected roles.</t>
  </si>
  <si>
    <t>EXECUTIVE HR STATISTICAL SUMMARY DASHBOARD</t>
  </si>
  <si>
    <t>Metric Description</t>
  </si>
  <si>
    <t>Department / Target Role</t>
  </si>
  <si>
    <t>Statistical Function Applied</t>
  </si>
  <si>
    <t>Calculated Value (₹)</t>
  </si>
  <si>
    <t>Average Salary - IT Department</t>
  </si>
  <si>
    <t>Headcount Earning &gt; ₹10,00,000 CTC</t>
  </si>
  <si>
    <t>&gt; ₹10,00,000</t>
  </si>
  <si>
    <t>Total Payroll - Senior Engineers</t>
  </si>
  <si>
    <t>Senior Engineer</t>
  </si>
  <si>
    <t>Designation</t>
  </si>
  <si>
    <t>Annual CTC Salary (₹)</t>
  </si>
  <si>
    <t>Salary Above ₹10L Threshold?</t>
  </si>
  <si>
    <t>EMP-701</t>
  </si>
  <si>
    <t>EMP-702</t>
  </si>
  <si>
    <t>HR Manager</t>
  </si>
  <si>
    <t>EMP-703</t>
  </si>
  <si>
    <t>Financial Analyst</t>
  </si>
  <si>
    <t>EMP-704</t>
  </si>
  <si>
    <t>EMP-705</t>
  </si>
  <si>
    <t>Operations Manager</t>
  </si>
  <si>
    <t>EMP-706</t>
  </si>
  <si>
    <t>Software Engineer</t>
  </si>
  <si>
    <t>EMP-707</t>
  </si>
  <si>
    <t>Accounts Officer</t>
  </si>
  <si>
    <t>EMP-708</t>
  </si>
  <si>
    <t>EMP-709</t>
  </si>
  <si>
    <t>Logistics Executive</t>
  </si>
  <si>
    <t>EMP-710</t>
  </si>
  <si>
    <t>Recruiter</t>
  </si>
  <si>
    <t>STATISTICAL &amp; RISK CLASSIFICATION METHODOLOGY:
• Average &amp; Count Summary: Calculates class average attendance and counts students below mandatory 75% University threshold -&gt; =COUNTIF(E8:E17, "&lt;0.75").
• 3-Tier Risk Classification: Uses IF logic -&gt; Safe (&gt;= 85%), Warning (75% to 84%), Critical (&lt; 75% - Defaulter Risk).
• Academic Benefit: Automates detention counseling lists for academic coordinators before semester examinations.</t>
  </si>
  <si>
    <t>Total Lectures Delivered</t>
  </si>
  <si>
    <t>Lectures Attended</t>
  </si>
  <si>
    <t>Risk Classification</t>
  </si>
  <si>
    <t>Detention Risk Flag</t>
  </si>
  <si>
    <t>Counseling Status</t>
  </si>
  <si>
    <t>MCA-301</t>
  </si>
  <si>
    <t>MCA-302</t>
  </si>
  <si>
    <t>MCA-303</t>
  </si>
  <si>
    <t>MCA-304</t>
  </si>
  <si>
    <t>MCA-305</t>
  </si>
  <si>
    <t>MCA-306</t>
  </si>
  <si>
    <t>MCA-307</t>
  </si>
  <si>
    <t>MCA-308</t>
  </si>
  <si>
    <t>MCA-309</t>
  </si>
  <si>
    <t>MCA-310</t>
  </si>
  <si>
    <t>Class Average Attendance</t>
  </si>
  <si>
    <t>Students Below 75% Threshold</t>
  </si>
  <si>
    <t>ERROR HANDLING &amp; BUDGET CONTROL LOGIC:
• Missing / Invalid Entry Trapping: Uses =IFERROR(E8, "⚠️ Missing Value") to prevent #VALUE! or #N/A calculation crashes on corrupted entries.
• Category-Wise Totals: =SUMIF(C8:C17, "IT Hardware", E8:E17) aggregates spending by cost centre.
• Budget Overrun Alert: Evaluates actual vs budget -&gt; =IF(E8&gt;F8, "OVER BUDGET", "Within Budget") and highlights overruns in RED.</t>
  </si>
  <si>
    <t>Expense ID</t>
  </si>
  <si>
    <t>Expense Description</t>
  </si>
  <si>
    <t>Payment Date</t>
  </si>
  <si>
    <t>Actual Spend (₹) [IFERROR]</t>
  </si>
  <si>
    <t>Budget Allocation (₹)</t>
  </si>
  <si>
    <t>Budget Status</t>
  </si>
  <si>
    <t>Managerial Review Flag</t>
  </si>
  <si>
    <t>EXP-801</t>
  </si>
  <si>
    <t>Server Maintenance</t>
  </si>
  <si>
    <t>IT Infrastructure</t>
  </si>
  <si>
    <t>EXP-802</t>
  </si>
  <si>
    <t>Office Stationery Reams</t>
  </si>
  <si>
    <t>Office Supplies</t>
  </si>
  <si>
    <t>EXP-803</t>
  </si>
  <si>
    <t>Software Licencing Renewal</t>
  </si>
  <si>
    <t>EXP-804</t>
  </si>
  <si>
    <t>Team Lunch &amp; Catering</t>
  </si>
  <si>
    <t>Employee Welfare</t>
  </si>
  <si>
    <t>EXP-805</t>
  </si>
  <si>
    <t>Cloud AWS Hosting</t>
  </si>
  <si>
    <t>EXP-806</t>
  </si>
  <si>
    <t>Ergonomic Office Chairs</t>
  </si>
  <si>
    <t>Furniture &amp; Fixture</t>
  </si>
  <si>
    <t>EXP-807</t>
  </si>
  <si>
    <t>Printer Cartridge Replacement</t>
  </si>
  <si>
    <t>EXP-808</t>
  </si>
  <si>
    <t>Annual Staff Medical Camp</t>
  </si>
  <si>
    <t>EXP-809</t>
  </si>
  <si>
    <t>Internet Lease Line</t>
  </si>
  <si>
    <t>EXP-810</t>
  </si>
  <si>
    <t>Air Conditioner Servicing</t>
  </si>
  <si>
    <t>Facility Management</t>
  </si>
  <si>
    <t>CATEGORY-WISE EXPENSE SUMMARY (SUMIF)</t>
  </si>
  <si>
    <t>Expense Category</t>
  </si>
  <si>
    <t>Total Actual Spend (₹)</t>
  </si>
  <si>
    <t>Total Budget (₹)</t>
  </si>
  <si>
    <t>Variance %</t>
  </si>
  <si>
    <t>REGIONAL SALES ANALYSIS &amp; TARGET RETRIEVAL LOGIC:
• Dynamic Target Retrieval: Uses =VLOOKUP(C8, $K$8:$M$11, 3, FALSE) to fetch target sales from the Region Manager Table (Cols K-M).
• Statistical Summary: Computes Average Sales (=AVERAGE(D8:D17)) and Maximum Sales (=MAX(D8:D17)) across Indian operating regions.
• 3-Tier Classification: Labels regions as Achieved (&gt;=100%), Near Target (90%-99%), or Below Target (&lt;90%).</t>
  </si>
  <si>
    <t>Branch ID</t>
  </si>
  <si>
    <t>Branch Location (City)</t>
  </si>
  <si>
    <t>Region Code</t>
  </si>
  <si>
    <t>Actual Sales (₹)</t>
  </si>
  <si>
    <t>Retrieved Target (₹) [VLOOKUP]</t>
  </si>
  <si>
    <t>Achievement %</t>
  </si>
  <si>
    <t>Performance Label</t>
  </si>
  <si>
    <t>Regional Manager</t>
  </si>
  <si>
    <t>Strategic Action</t>
  </si>
  <si>
    <t>Regional Target (₹)</t>
  </si>
  <si>
    <t>BR-901</t>
  </si>
  <si>
    <t>Mumbai - Andheri West</t>
  </si>
  <si>
    <t>West - Mumbai</t>
  </si>
  <si>
    <t>BR-902</t>
  </si>
  <si>
    <t>Pune - Shivaji Nagar</t>
  </si>
  <si>
    <t>North - Delhi</t>
  </si>
  <si>
    <t>BR-903</t>
  </si>
  <si>
    <t>Delhi - Connaught Place</t>
  </si>
  <si>
    <t>South - Bengaluru</t>
  </si>
  <si>
    <t>BR-904</t>
  </si>
  <si>
    <t>Jaipur - Malviya Nagar</t>
  </si>
  <si>
    <t>East - Kolkata</t>
  </si>
  <si>
    <t>BR-905</t>
  </si>
  <si>
    <t>Bengaluru - Indiranagar</t>
  </si>
  <si>
    <t>BR-906</t>
  </si>
  <si>
    <t>Hyderabad - Banjara Hills</t>
  </si>
  <si>
    <t>BR-907</t>
  </si>
  <si>
    <t>Chennai - T. Nagar</t>
  </si>
  <si>
    <t>BR-908</t>
  </si>
  <si>
    <t>Kolkata - Salt Lake</t>
  </si>
  <si>
    <t>BR-909</t>
  </si>
  <si>
    <t>Ahmedabad - C.G. Road</t>
  </si>
  <si>
    <t>BR-910</t>
  </si>
  <si>
    <t>Bhubaneswar - Saheed Nagar</t>
  </si>
  <si>
    <t>National Average Sales (₹)</t>
  </si>
  <si>
    <t>Maximum Branch Sales (₹)</t>
  </si>
  <si>
    <t>Assignment 14: Regional Sales Comparison using Lookup &amp; Statistical Functions (India Regions)</t>
  </si>
  <si>
    <t>Assignment 13: Monthly Budget Review with Error Handling &amp; Budget Overrun Flags</t>
  </si>
  <si>
    <t>Assignment 12: Student Attendance Risk Analysis using Statistical &amp; Logical Functions</t>
  </si>
  <si>
    <t>Assignment 11: HR Department Salary Analysis using AVERAGEIF, COUNTIF, and SUMIF</t>
  </si>
  <si>
    <t>Assignment 10: Error-Proof Student Master Lookup Sheet using IFERROR &amp; IFNA</t>
  </si>
  <si>
    <t>Assignment 9: Employee Service Tenure Analysis &amp; Service Milestone Recognition</t>
  </si>
  <si>
    <t>Assignment 8: Project Deadline Monitoring &amp; Milestone Review using Date Functions</t>
  </si>
  <si>
    <t>Assignment 7: Invoice Number Standardization using LEFT, RIGHT, MID, and SUBSTITUTE</t>
  </si>
  <si>
    <t>Assignment 6: College Library Member Email &amp; Text Standardization using Text Functions</t>
  </si>
  <si>
    <t>Assignment 5: Product Master Price &amp; Supplier Retrieval using INDEX–MATCH</t>
  </si>
  <si>
    <t>Assignment 4: Sales Incentive Calculator using Reference Lookup Tables (VLOOKUP)</t>
  </si>
  <si>
    <t>Assignment 3: Customer Support Ticket Priority Analyzer using Logical Functions</t>
  </si>
  <si>
    <t>Assignment 2: Student Academic Result Analysis using Nested IF &amp; Distinction Logic</t>
  </si>
  <si>
    <t>Assignment 1: Employee Appraisal Classification using IF, AND, and OR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</si>
</sst>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₹#,##0"/>
    <numFmt numFmtId="166" formatCode="\₹#,##0.00"/>
    <numFmt numFmtId="167" formatCode="yyyy\-mm\-dd"/>
  </numFmts>
  <fonts count="6" x14ac:knownFonts="1">
    <font>
      <sz val="11"/>
      <color theme="1"/>
      <name val="Calibri"/>
      <family val="2"/>
      <scheme val="minor"/>
    </font>
    <font>
      <b/>
      <sz val="15"/>
      <color rgb="FF1F497D"/>
      <name val="Calibri"/>
    </font>
    <font>
      <i/>
      <sz val="10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right"/>
    </xf>
    <xf numFmtId="165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5" fillId="0" borderId="0" xfId="0" applyFont="1"/>
    <xf numFmtId="0" fontId="5" fillId="5" borderId="1" xfId="0" applyFont="1" applyFill="1" applyBorder="1" applyAlignment="1">
      <alignment horizontal="center"/>
    </xf>
    <xf numFmtId="0" fontId="5" fillId="0" borderId="1" xfId="0" applyFont="1" applyBorder="1"/>
    <xf numFmtId="166" fontId="5" fillId="0" borderId="1" xfId="0" applyNumberFormat="1" applyFont="1" applyBorder="1"/>
    <xf numFmtId="166" fontId="4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right"/>
    </xf>
    <xf numFmtId="167" fontId="5" fillId="4" borderId="0" xfId="0" applyNumberFormat="1" applyFont="1" applyFill="1"/>
    <xf numFmtId="167" fontId="4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164" fontId="5" fillId="4" borderId="1" xfId="0" applyNumberFormat="1" applyFont="1" applyFill="1" applyBorder="1"/>
    <xf numFmtId="3" fontId="5" fillId="4" borderId="1" xfId="0" applyNumberFormat="1" applyFont="1" applyFill="1" applyBorder="1"/>
    <xf numFmtId="165" fontId="0" fillId="0" borderId="1" xfId="0" applyNumberFormat="1" applyBorder="1" applyAlignment="1">
      <alignment horizontal="right"/>
    </xf>
    <xf numFmtId="165" fontId="5" fillId="4" borderId="1" xfId="0" applyNumberFormat="1" applyFont="1" applyFill="1" applyBorder="1"/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5" fillId="4" borderId="0" xfId="0" applyFont="1" applyFill="1"/>
    <xf numFmtId="0" fontId="0" fillId="0" borderId="0" xfId="0"/>
  </cellXfs>
  <cellStyles count="1">
    <cellStyle name="Normal" xfId="0" builtinId="0"/>
  </cellStyles>
  <dxfs count="28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Regional Branch Sales vs Target (₹)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'14. Regional Sales Comparison'!$D$7</c:f>
              <c:strCache>
                <c:ptCount val="1"/>
                <c:pt idx="0">
                  <c:v>Actual Sales (₹)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'14. Regional Sales Comparison'!$B$8:$B$17</c:f>
              <c:strCache>
                <c:ptCount val="10"/>
                <c:pt idx="0">
                  <c:v>Mumbai - Andheri West</c:v>
                </c:pt>
                <c:pt idx="1">
                  <c:v>Pune - Shivaji Nagar</c:v>
                </c:pt>
                <c:pt idx="2">
                  <c:v>Delhi - Connaught Place</c:v>
                </c:pt>
                <c:pt idx="3">
                  <c:v>Jaipur - Malviya Nagar</c:v>
                </c:pt>
                <c:pt idx="4">
                  <c:v>Bengaluru - Indiranagar</c:v>
                </c:pt>
                <c:pt idx="5">
                  <c:v>Hyderabad - Banjara Hills</c:v>
                </c:pt>
                <c:pt idx="6">
                  <c:v>Chennai - T. Nagar</c:v>
                </c:pt>
                <c:pt idx="7">
                  <c:v>Kolkata - Salt Lake</c:v>
                </c:pt>
                <c:pt idx="8">
                  <c:v>Ahmedabad - C.G. Road</c:v>
                </c:pt>
                <c:pt idx="9">
                  <c:v>Bhubaneswar - Saheed Nagar</c:v>
                </c:pt>
              </c:strCache>
            </c:strRef>
          </c:cat>
          <c:val>
            <c:numRef>
              <c:f>'14. Regional Sales Comparison'!$D$8:$D$17</c:f>
              <c:numCache>
                <c:formatCode>\₹#,##0</c:formatCode>
                <c:ptCount val="10"/>
                <c:pt idx="0">
                  <c:v>45000000</c:v>
                </c:pt>
                <c:pt idx="1">
                  <c:v>38000000</c:v>
                </c:pt>
                <c:pt idx="2">
                  <c:v>36000000</c:v>
                </c:pt>
                <c:pt idx="3">
                  <c:v>31000000</c:v>
                </c:pt>
                <c:pt idx="4">
                  <c:v>48000000</c:v>
                </c:pt>
                <c:pt idx="5">
                  <c:v>41000000</c:v>
                </c:pt>
                <c:pt idx="6">
                  <c:v>39000000</c:v>
                </c:pt>
                <c:pt idx="7">
                  <c:v>29000000</c:v>
                </c:pt>
                <c:pt idx="8">
                  <c:v>42000000</c:v>
                </c:pt>
                <c:pt idx="9">
                  <c:v>24000000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6-4EBA-BA8A-7A9B8783993C}"/>
            </c:ext>
          </c:extLst>
        </c:ser>
        <c:ser>
          <c:idx val="1"/>
          <c:order val="1"/>
          <c:tx>
            <c:strRef>
              <c:f>'14. Regional Sales Comparison'!$E$7</c:f>
              <c:strCache>
                <c:ptCount val="1"/>
                <c:pt idx="0">
                  <c:v>Retrieved Target (₹) [VLOOKUP]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'14. Regional Sales Comparison'!$B$8:$B$17</c:f>
              <c:strCache>
                <c:ptCount val="10"/>
                <c:pt idx="0">
                  <c:v>Mumbai - Andheri West</c:v>
                </c:pt>
                <c:pt idx="1">
                  <c:v>Pune - Shivaji Nagar</c:v>
                </c:pt>
                <c:pt idx="2">
                  <c:v>Delhi - Connaught Place</c:v>
                </c:pt>
                <c:pt idx="3">
                  <c:v>Jaipur - Malviya Nagar</c:v>
                </c:pt>
                <c:pt idx="4">
                  <c:v>Bengaluru - Indiranagar</c:v>
                </c:pt>
                <c:pt idx="5">
                  <c:v>Hyderabad - Banjara Hills</c:v>
                </c:pt>
                <c:pt idx="6">
                  <c:v>Chennai - T. Nagar</c:v>
                </c:pt>
                <c:pt idx="7">
                  <c:v>Kolkata - Salt Lake</c:v>
                </c:pt>
                <c:pt idx="8">
                  <c:v>Ahmedabad - C.G. Road</c:v>
                </c:pt>
                <c:pt idx="9">
                  <c:v>Bhubaneswar - Saheed Nagar</c:v>
                </c:pt>
              </c:strCache>
            </c:strRef>
          </c:cat>
          <c:val>
            <c:numRef>
              <c:f>'14. Regional Sales Comparison'!$E$8:$E$17</c:f>
              <c:numCache>
                <c:formatCode>\₹#,##0</c:formatCode>
                <c:ptCount val="10"/>
                <c:pt idx="0">
                  <c:v>40000000</c:v>
                </c:pt>
                <c:pt idx="1">
                  <c:v>40000000</c:v>
                </c:pt>
                <c:pt idx="2">
                  <c:v>35000000</c:v>
                </c:pt>
                <c:pt idx="3">
                  <c:v>35000000</c:v>
                </c:pt>
                <c:pt idx="4">
                  <c:v>42000000</c:v>
                </c:pt>
                <c:pt idx="5">
                  <c:v>42000000</c:v>
                </c:pt>
                <c:pt idx="6">
                  <c:v>42000000</c:v>
                </c:pt>
                <c:pt idx="7">
                  <c:v>28000000</c:v>
                </c:pt>
                <c:pt idx="8">
                  <c:v>40000000</c:v>
                </c:pt>
                <c:pt idx="9">
                  <c:v>28000000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86-4EBA-BA8A-7A9B87839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Branch 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(₹)</a:t>
                </a:r>
              </a:p>
            </c:rich>
          </c:tx>
          <c:overlay val="0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13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A2" sqref="A2"/>
    </sheetView>
  </sheetViews>
  <sheetFormatPr defaultRowHeight="15" x14ac:dyDescent="0.25"/>
  <cols>
    <col min="1" max="1" width="14" customWidth="1"/>
    <col min="2" max="2" width="22" customWidth="1"/>
    <col min="3" max="3" width="25" customWidth="1"/>
    <col min="4" max="5" width="16" customWidth="1"/>
    <col min="6" max="6" width="24" customWidth="1"/>
    <col min="7" max="7" width="18" customWidth="1"/>
    <col min="8" max="8" width="25" customWidth="1"/>
  </cols>
  <sheetData>
    <row r="1" spans="1:8" ht="19.5" x14ac:dyDescent="0.3">
      <c r="A1" s="1" t="s">
        <v>449</v>
      </c>
    </row>
    <row r="3" spans="1:8" x14ac:dyDescent="0.25">
      <c r="A3" s="27" t="s">
        <v>0</v>
      </c>
      <c r="B3" s="28"/>
      <c r="C3" s="28"/>
      <c r="D3" s="28"/>
      <c r="E3" s="28"/>
      <c r="F3" s="28"/>
      <c r="G3" s="28"/>
      <c r="H3" s="28"/>
    </row>
    <row r="4" spans="1:8" x14ac:dyDescent="0.25">
      <c r="A4" s="28"/>
      <c r="B4" s="28"/>
      <c r="C4" s="28"/>
      <c r="D4" s="28"/>
      <c r="E4" s="28"/>
      <c r="F4" s="28"/>
      <c r="G4" s="28"/>
      <c r="H4" s="28"/>
    </row>
    <row r="5" spans="1:8" ht="26.25" customHeight="1" x14ac:dyDescent="0.25">
      <c r="A5" s="28"/>
      <c r="B5" s="28"/>
      <c r="C5" s="28"/>
      <c r="D5" s="28"/>
      <c r="E5" s="28"/>
      <c r="F5" s="28"/>
      <c r="G5" s="28"/>
      <c r="H5" s="28"/>
    </row>
    <row r="7" spans="1:8" x14ac:dyDescent="0.2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</row>
    <row r="8" spans="1:8" x14ac:dyDescent="0.25">
      <c r="A8" s="4" t="s">
        <v>9</v>
      </c>
      <c r="B8" s="5" t="s">
        <v>10</v>
      </c>
      <c r="C8" s="4">
        <v>92</v>
      </c>
      <c r="D8" s="6">
        <v>0.95</v>
      </c>
      <c r="E8" s="4" t="s">
        <v>11</v>
      </c>
      <c r="F8" s="4" t="str">
        <f t="shared" ref="F8:F17" si="0">IF(AND(C8&gt;=85, D8&gt;=0.9, E8="Completed"), "Outstanding", IF(OR(C8&lt;60, D8&lt;0.75, E8="Overdue"), "Needs Improvement", "Satisfactory"))</f>
        <v>Outstanding</v>
      </c>
      <c r="G8" s="4" t="str">
        <f t="shared" ref="G8:G17" si="1">IF(F8="Outstanding", "Yes - 20%", IF(F8="Satisfactory", "Yes - 10%", "No Bonus"))</f>
        <v>Yes - 20%</v>
      </c>
      <c r="H8" s="5" t="str">
        <f t="shared" ref="H8:H17" si="2">IF(F8="Outstanding", "High potential talent", IF(F8="Needs Improvement", "Schedule PIP review", "Stable contributor"))</f>
        <v>High potential talent</v>
      </c>
    </row>
    <row r="9" spans="1:8" x14ac:dyDescent="0.25">
      <c r="A9" s="4" t="s">
        <v>12</v>
      </c>
      <c r="B9" s="5" t="s">
        <v>13</v>
      </c>
      <c r="C9" s="4">
        <v>88</v>
      </c>
      <c r="D9" s="6">
        <v>0.91</v>
      </c>
      <c r="E9" s="4" t="s">
        <v>11</v>
      </c>
      <c r="F9" s="4" t="str">
        <f t="shared" si="0"/>
        <v>Outstanding</v>
      </c>
      <c r="G9" s="4" t="str">
        <f t="shared" si="1"/>
        <v>Yes - 20%</v>
      </c>
      <c r="H9" s="5" t="str">
        <f t="shared" si="2"/>
        <v>High potential talent</v>
      </c>
    </row>
    <row r="10" spans="1:8" x14ac:dyDescent="0.25">
      <c r="A10" s="4" t="s">
        <v>14</v>
      </c>
      <c r="B10" s="5" t="s">
        <v>15</v>
      </c>
      <c r="C10" s="4">
        <v>78</v>
      </c>
      <c r="D10" s="6">
        <v>0.82</v>
      </c>
      <c r="E10" s="4" t="s">
        <v>16</v>
      </c>
      <c r="F10" s="4" t="str">
        <f t="shared" si="0"/>
        <v>Satisfactory</v>
      </c>
      <c r="G10" s="4" t="str">
        <f t="shared" si="1"/>
        <v>Yes - 10%</v>
      </c>
      <c r="H10" s="5" t="str">
        <f t="shared" si="2"/>
        <v>Stable contributor</v>
      </c>
    </row>
    <row r="11" spans="1:8" x14ac:dyDescent="0.25">
      <c r="A11" s="4" t="s">
        <v>17</v>
      </c>
      <c r="B11" s="5" t="s">
        <v>18</v>
      </c>
      <c r="C11" s="4">
        <v>55</v>
      </c>
      <c r="D11" s="6">
        <v>0.8</v>
      </c>
      <c r="E11" s="4" t="s">
        <v>16</v>
      </c>
      <c r="F11" s="4" t="str">
        <f t="shared" si="0"/>
        <v>Needs Improvement</v>
      </c>
      <c r="G11" s="4" t="str">
        <f t="shared" si="1"/>
        <v>No Bonus</v>
      </c>
      <c r="H11" s="5" t="str">
        <f t="shared" si="2"/>
        <v>Schedule PIP review</v>
      </c>
    </row>
    <row r="12" spans="1:8" x14ac:dyDescent="0.25">
      <c r="A12" s="4" t="s">
        <v>19</v>
      </c>
      <c r="B12" s="5" t="s">
        <v>20</v>
      </c>
      <c r="C12" s="4">
        <v>65</v>
      </c>
      <c r="D12" s="6">
        <v>0.7</v>
      </c>
      <c r="E12" s="4" t="s">
        <v>11</v>
      </c>
      <c r="F12" s="4" t="str">
        <f t="shared" si="0"/>
        <v>Needs Improvement</v>
      </c>
      <c r="G12" s="4" t="str">
        <f t="shared" si="1"/>
        <v>No Bonus</v>
      </c>
      <c r="H12" s="5" t="str">
        <f t="shared" si="2"/>
        <v>Schedule PIP review</v>
      </c>
    </row>
    <row r="13" spans="1:8" x14ac:dyDescent="0.25">
      <c r="A13" s="4" t="s">
        <v>21</v>
      </c>
      <c r="B13" s="5" t="s">
        <v>22</v>
      </c>
      <c r="C13" s="4">
        <v>86</v>
      </c>
      <c r="D13" s="6">
        <v>0.92</v>
      </c>
      <c r="E13" s="4" t="s">
        <v>11</v>
      </c>
      <c r="F13" s="4" t="str">
        <f t="shared" si="0"/>
        <v>Outstanding</v>
      </c>
      <c r="G13" s="4" t="str">
        <f t="shared" si="1"/>
        <v>Yes - 20%</v>
      </c>
      <c r="H13" s="5" t="str">
        <f t="shared" si="2"/>
        <v>High potential talent</v>
      </c>
    </row>
    <row r="14" spans="1:8" x14ac:dyDescent="0.25">
      <c r="A14" s="4" t="s">
        <v>23</v>
      </c>
      <c r="B14" s="5" t="s">
        <v>24</v>
      </c>
      <c r="C14" s="4">
        <v>74</v>
      </c>
      <c r="D14" s="6">
        <v>0.88</v>
      </c>
      <c r="E14" s="4" t="s">
        <v>25</v>
      </c>
      <c r="F14" s="4" t="str">
        <f t="shared" si="0"/>
        <v>Needs Improvement</v>
      </c>
      <c r="G14" s="4" t="str">
        <f t="shared" si="1"/>
        <v>No Bonus</v>
      </c>
      <c r="H14" s="5" t="str">
        <f t="shared" si="2"/>
        <v>Schedule PIP review</v>
      </c>
    </row>
    <row r="15" spans="1:8" x14ac:dyDescent="0.25">
      <c r="A15" s="4" t="s">
        <v>26</v>
      </c>
      <c r="B15" s="5" t="s">
        <v>27</v>
      </c>
      <c r="C15" s="4">
        <v>90</v>
      </c>
      <c r="D15" s="6">
        <v>0.85</v>
      </c>
      <c r="E15" s="4" t="s">
        <v>11</v>
      </c>
      <c r="F15" s="4" t="str">
        <f t="shared" si="0"/>
        <v>Satisfactory</v>
      </c>
      <c r="G15" s="4" t="str">
        <f t="shared" si="1"/>
        <v>Yes - 10%</v>
      </c>
      <c r="H15" s="5" t="str">
        <f t="shared" si="2"/>
        <v>Stable contributor</v>
      </c>
    </row>
    <row r="16" spans="1:8" x14ac:dyDescent="0.25">
      <c r="A16" s="4" t="s">
        <v>28</v>
      </c>
      <c r="B16" s="5" t="s">
        <v>29</v>
      </c>
      <c r="C16" s="4">
        <v>58</v>
      </c>
      <c r="D16" s="6">
        <v>0.65</v>
      </c>
      <c r="E16" s="4" t="s">
        <v>25</v>
      </c>
      <c r="F16" s="4" t="str">
        <f t="shared" si="0"/>
        <v>Needs Improvement</v>
      </c>
      <c r="G16" s="4" t="str">
        <f t="shared" si="1"/>
        <v>No Bonus</v>
      </c>
      <c r="H16" s="5" t="str">
        <f t="shared" si="2"/>
        <v>Schedule PIP review</v>
      </c>
    </row>
    <row r="17" spans="1:8" x14ac:dyDescent="0.25">
      <c r="A17" s="4" t="s">
        <v>30</v>
      </c>
      <c r="B17" s="5" t="s">
        <v>31</v>
      </c>
      <c r="C17" s="4">
        <v>82</v>
      </c>
      <c r="D17" s="6">
        <v>0.89</v>
      </c>
      <c r="E17" s="4" t="s">
        <v>16</v>
      </c>
      <c r="F17" s="4" t="str">
        <f t="shared" si="0"/>
        <v>Satisfactory</v>
      </c>
      <c r="G17" s="4" t="str">
        <f t="shared" si="1"/>
        <v>Yes - 10%</v>
      </c>
      <c r="H17" s="5" t="str">
        <f t="shared" si="2"/>
        <v>Stable contributor</v>
      </c>
    </row>
  </sheetData>
  <mergeCells count="1">
    <mergeCell ref="A3:H5"/>
  </mergeCells>
  <conditionalFormatting sqref="F8:F17">
    <cfRule type="expression" dxfId="27" priority="1">
      <formula>$F8="Outstanding"</formula>
    </cfRule>
    <cfRule type="expression" dxfId="26" priority="2">
      <formula>$F8="Satisfactory"</formula>
    </cfRule>
    <cfRule type="expression" dxfId="25" priority="3">
      <formula>$F8="Needs Improvement"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A2" sqref="A2"/>
    </sheetView>
  </sheetViews>
  <sheetFormatPr defaultRowHeight="15" x14ac:dyDescent="0.25"/>
  <cols>
    <col min="1" max="1" width="12" customWidth="1"/>
    <col min="2" max="2" width="22" customWidth="1"/>
    <col min="3" max="5" width="12" customWidth="1"/>
    <col min="6" max="6" width="16" customWidth="1"/>
    <col min="7" max="7" width="15" customWidth="1"/>
    <col min="8" max="8" width="18" customWidth="1"/>
    <col min="9" max="9" width="15" customWidth="1"/>
    <col min="10" max="10" width="18" customWidth="1"/>
    <col min="11" max="11" width="20" customWidth="1"/>
    <col min="12" max="12" width="24" customWidth="1"/>
  </cols>
  <sheetData>
    <row r="1" spans="1:12" ht="19.5" x14ac:dyDescent="0.3">
      <c r="A1" s="1" t="s">
        <v>448</v>
      </c>
    </row>
    <row r="3" spans="1:12" x14ac:dyDescent="0.25">
      <c r="A3" s="27" t="s">
        <v>32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27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7" spans="1:12" ht="30" x14ac:dyDescent="0.25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3" t="s">
        <v>41</v>
      </c>
      <c r="J7" s="3" t="s">
        <v>42</v>
      </c>
      <c r="K7" s="3" t="s">
        <v>43</v>
      </c>
      <c r="L7" s="3" t="s">
        <v>44</v>
      </c>
    </row>
    <row r="8" spans="1:12" x14ac:dyDescent="0.25">
      <c r="A8" s="4" t="s">
        <v>45</v>
      </c>
      <c r="B8" s="5" t="s">
        <v>10</v>
      </c>
      <c r="C8" s="4">
        <v>92</v>
      </c>
      <c r="D8" s="4">
        <v>88</v>
      </c>
      <c r="E8" s="4">
        <v>95</v>
      </c>
      <c r="F8" s="4">
        <v>89</v>
      </c>
      <c r="G8" s="4">
        <v>91</v>
      </c>
      <c r="H8" s="7">
        <f t="shared" ref="H8:H17" si="0">SUM(C8:G8)</f>
        <v>455</v>
      </c>
      <c r="I8" s="6">
        <f t="shared" ref="I8:I17" si="1">H8/500</f>
        <v>0.91</v>
      </c>
      <c r="J8" s="4" t="str">
        <f t="shared" ref="J8:J17" si="2">IF(I8&gt;=0.9, "O", IF(I8&gt;=0.8, "A+", IF(I8&gt;=0.7, "A", IF(I8&gt;=0.6, "B+", IF(I8&gt;=0.55, "B", IF(I8&gt;=0.5, "C", "P"))))))</f>
        <v>O</v>
      </c>
      <c r="K8" s="4" t="str">
        <f t="shared" ref="K8:K17" si="3">IF(AND(I8&gt;=0.75, MIN(C8:G8)&gt;=50), "DISTINCTION", "Standard Pass")</f>
        <v>DISTINCTION</v>
      </c>
      <c r="L8" s="4" t="str">
        <f t="shared" ref="L8:L17" si="4">IF(AND(I8&gt;=0.45, I8&lt;0.5), "Eligible for Re-evaluation", "Not Applicable")</f>
        <v>Not Applicable</v>
      </c>
    </row>
    <row r="9" spans="1:12" x14ac:dyDescent="0.25">
      <c r="A9" s="4" t="s">
        <v>46</v>
      </c>
      <c r="B9" s="5" t="s">
        <v>13</v>
      </c>
      <c r="C9" s="4">
        <v>85</v>
      </c>
      <c r="D9" s="4">
        <v>78</v>
      </c>
      <c r="E9" s="4">
        <v>82</v>
      </c>
      <c r="F9" s="4">
        <v>80</v>
      </c>
      <c r="G9" s="4">
        <v>84</v>
      </c>
      <c r="H9" s="7">
        <f t="shared" si="0"/>
        <v>409</v>
      </c>
      <c r="I9" s="6">
        <f t="shared" si="1"/>
        <v>0.81799999999999995</v>
      </c>
      <c r="J9" s="4" t="str">
        <f t="shared" si="2"/>
        <v>A+</v>
      </c>
      <c r="K9" s="4" t="str">
        <f t="shared" si="3"/>
        <v>DISTINCTION</v>
      </c>
      <c r="L9" s="4" t="str">
        <f t="shared" si="4"/>
        <v>Not Applicable</v>
      </c>
    </row>
    <row r="10" spans="1:12" x14ac:dyDescent="0.25">
      <c r="A10" s="4" t="s">
        <v>47</v>
      </c>
      <c r="B10" s="5" t="s">
        <v>15</v>
      </c>
      <c r="C10" s="4">
        <v>72</v>
      </c>
      <c r="D10" s="4">
        <v>75</v>
      </c>
      <c r="E10" s="4">
        <v>68</v>
      </c>
      <c r="F10" s="4">
        <v>74</v>
      </c>
      <c r="G10" s="4">
        <v>70</v>
      </c>
      <c r="H10" s="7">
        <f t="shared" si="0"/>
        <v>359</v>
      </c>
      <c r="I10" s="6">
        <f t="shared" si="1"/>
        <v>0.71799999999999997</v>
      </c>
      <c r="J10" s="4" t="str">
        <f t="shared" si="2"/>
        <v>A</v>
      </c>
      <c r="K10" s="4" t="str">
        <f t="shared" si="3"/>
        <v>Standard Pass</v>
      </c>
      <c r="L10" s="4" t="str">
        <f t="shared" si="4"/>
        <v>Not Applicable</v>
      </c>
    </row>
    <row r="11" spans="1:12" x14ac:dyDescent="0.25">
      <c r="A11" s="4" t="s">
        <v>48</v>
      </c>
      <c r="B11" s="5" t="s">
        <v>18</v>
      </c>
      <c r="C11" s="4">
        <v>62</v>
      </c>
      <c r="D11" s="4">
        <v>65</v>
      </c>
      <c r="E11" s="4">
        <v>60</v>
      </c>
      <c r="F11" s="4">
        <v>64</v>
      </c>
      <c r="G11" s="4">
        <v>61</v>
      </c>
      <c r="H11" s="7">
        <f t="shared" si="0"/>
        <v>312</v>
      </c>
      <c r="I11" s="6">
        <f t="shared" si="1"/>
        <v>0.624</v>
      </c>
      <c r="J11" s="4" t="str">
        <f t="shared" si="2"/>
        <v>B+</v>
      </c>
      <c r="K11" s="4" t="str">
        <f t="shared" si="3"/>
        <v>Standard Pass</v>
      </c>
      <c r="L11" s="4" t="str">
        <f t="shared" si="4"/>
        <v>Not Applicable</v>
      </c>
    </row>
    <row r="12" spans="1:12" x14ac:dyDescent="0.25">
      <c r="A12" s="4" t="s">
        <v>49</v>
      </c>
      <c r="B12" s="5" t="s">
        <v>20</v>
      </c>
      <c r="C12" s="4">
        <v>55</v>
      </c>
      <c r="D12" s="4">
        <v>58</v>
      </c>
      <c r="E12" s="4">
        <v>56</v>
      </c>
      <c r="F12" s="4">
        <v>54</v>
      </c>
      <c r="G12" s="4">
        <v>57</v>
      </c>
      <c r="H12" s="7">
        <f t="shared" si="0"/>
        <v>280</v>
      </c>
      <c r="I12" s="6">
        <f t="shared" si="1"/>
        <v>0.56000000000000005</v>
      </c>
      <c r="J12" s="4" t="str">
        <f t="shared" si="2"/>
        <v>B</v>
      </c>
      <c r="K12" s="4" t="str">
        <f t="shared" si="3"/>
        <v>Standard Pass</v>
      </c>
      <c r="L12" s="4" t="str">
        <f t="shared" si="4"/>
        <v>Not Applicable</v>
      </c>
    </row>
    <row r="13" spans="1:12" x14ac:dyDescent="0.25">
      <c r="A13" s="4" t="s">
        <v>50</v>
      </c>
      <c r="B13" s="5" t="s">
        <v>22</v>
      </c>
      <c r="C13" s="4">
        <v>50</v>
      </c>
      <c r="D13" s="4">
        <v>52</v>
      </c>
      <c r="E13" s="4">
        <v>51</v>
      </c>
      <c r="F13" s="4">
        <v>50</v>
      </c>
      <c r="G13" s="4">
        <v>53</v>
      </c>
      <c r="H13" s="7">
        <f t="shared" si="0"/>
        <v>256</v>
      </c>
      <c r="I13" s="6">
        <f t="shared" si="1"/>
        <v>0.51200000000000001</v>
      </c>
      <c r="J13" s="4" t="str">
        <f t="shared" si="2"/>
        <v>C</v>
      </c>
      <c r="K13" s="4" t="str">
        <f t="shared" si="3"/>
        <v>Standard Pass</v>
      </c>
      <c r="L13" s="4" t="str">
        <f t="shared" si="4"/>
        <v>Not Applicable</v>
      </c>
    </row>
    <row r="14" spans="1:12" x14ac:dyDescent="0.25">
      <c r="A14" s="4" t="s">
        <v>51</v>
      </c>
      <c r="B14" s="5" t="s">
        <v>24</v>
      </c>
      <c r="C14" s="4">
        <v>48</v>
      </c>
      <c r="D14" s="4">
        <v>46</v>
      </c>
      <c r="E14" s="4">
        <v>47</v>
      </c>
      <c r="F14" s="4">
        <v>45</v>
      </c>
      <c r="G14" s="4">
        <v>49</v>
      </c>
      <c r="H14" s="7">
        <f t="shared" si="0"/>
        <v>235</v>
      </c>
      <c r="I14" s="6">
        <f t="shared" si="1"/>
        <v>0.47</v>
      </c>
      <c r="J14" s="4" t="str">
        <f t="shared" si="2"/>
        <v>P</v>
      </c>
      <c r="K14" s="4" t="str">
        <f t="shared" si="3"/>
        <v>Standard Pass</v>
      </c>
      <c r="L14" s="4" t="str">
        <f t="shared" si="4"/>
        <v>Eligible for Re-evaluation</v>
      </c>
    </row>
    <row r="15" spans="1:12" x14ac:dyDescent="0.25">
      <c r="A15" s="4" t="s">
        <v>52</v>
      </c>
      <c r="B15" s="5" t="s">
        <v>27</v>
      </c>
      <c r="C15" s="4">
        <v>90</v>
      </c>
      <c r="D15" s="4">
        <v>86</v>
      </c>
      <c r="E15" s="4">
        <v>92</v>
      </c>
      <c r="F15" s="4">
        <v>88</v>
      </c>
      <c r="G15" s="4">
        <v>91</v>
      </c>
      <c r="H15" s="7">
        <f t="shared" si="0"/>
        <v>447</v>
      </c>
      <c r="I15" s="6">
        <f t="shared" si="1"/>
        <v>0.89400000000000002</v>
      </c>
      <c r="J15" s="4" t="str">
        <f t="shared" si="2"/>
        <v>A+</v>
      </c>
      <c r="K15" s="4" t="str">
        <f t="shared" si="3"/>
        <v>DISTINCTION</v>
      </c>
      <c r="L15" s="4" t="str">
        <f t="shared" si="4"/>
        <v>Not Applicable</v>
      </c>
    </row>
    <row r="16" spans="1:12" x14ac:dyDescent="0.25">
      <c r="A16" s="4" t="s">
        <v>53</v>
      </c>
      <c r="B16" s="5" t="s">
        <v>29</v>
      </c>
      <c r="C16" s="4">
        <v>42</v>
      </c>
      <c r="D16" s="4">
        <v>44</v>
      </c>
      <c r="E16" s="4">
        <v>40</v>
      </c>
      <c r="F16" s="4">
        <v>45</v>
      </c>
      <c r="G16" s="4">
        <v>43</v>
      </c>
      <c r="H16" s="7">
        <f t="shared" si="0"/>
        <v>214</v>
      </c>
      <c r="I16" s="6">
        <f t="shared" si="1"/>
        <v>0.42799999999999999</v>
      </c>
      <c r="J16" s="4" t="str">
        <f t="shared" si="2"/>
        <v>P</v>
      </c>
      <c r="K16" s="4" t="str">
        <f t="shared" si="3"/>
        <v>Standard Pass</v>
      </c>
      <c r="L16" s="4" t="str">
        <f t="shared" si="4"/>
        <v>Not Applicable</v>
      </c>
    </row>
    <row r="17" spans="1:12" x14ac:dyDescent="0.25">
      <c r="A17" s="4" t="s">
        <v>54</v>
      </c>
      <c r="B17" s="5" t="s">
        <v>31</v>
      </c>
      <c r="C17" s="4">
        <v>76</v>
      </c>
      <c r="D17" s="4">
        <v>79</v>
      </c>
      <c r="E17" s="4">
        <v>78</v>
      </c>
      <c r="F17" s="4">
        <v>81</v>
      </c>
      <c r="G17" s="4">
        <v>75</v>
      </c>
      <c r="H17" s="7">
        <f t="shared" si="0"/>
        <v>389</v>
      </c>
      <c r="I17" s="6">
        <f t="shared" si="1"/>
        <v>0.77800000000000002</v>
      </c>
      <c r="J17" s="4" t="str">
        <f t="shared" si="2"/>
        <v>A</v>
      </c>
      <c r="K17" s="4" t="str">
        <f t="shared" si="3"/>
        <v>DISTINCTION</v>
      </c>
      <c r="L17" s="4" t="str">
        <f t="shared" si="4"/>
        <v>Not Applicable</v>
      </c>
    </row>
  </sheetData>
  <mergeCells count="1">
    <mergeCell ref="A3:L5"/>
  </mergeCells>
  <conditionalFormatting sqref="J8:J17">
    <cfRule type="expression" dxfId="24" priority="1">
      <formula>$J8="O"</formula>
    </cfRule>
  </conditionalFormatting>
  <conditionalFormatting sqref="K8:K17">
    <cfRule type="expression" dxfId="23" priority="2">
      <formula>$K8="DISTINCTION"</formula>
    </cfRule>
  </conditionalFormatting>
  <conditionalFormatting sqref="L8:L17">
    <cfRule type="expression" dxfId="22" priority="3">
      <formula>$L8="Eligible for Re-evaluation"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24" customWidth="1"/>
    <col min="3" max="3" width="16" customWidth="1"/>
    <col min="4" max="5" width="14" customWidth="1"/>
    <col min="6" max="7" width="18" customWidth="1"/>
    <col min="8" max="8" width="20" customWidth="1"/>
    <col min="9" max="9" width="22" customWidth="1"/>
  </cols>
  <sheetData>
    <row r="1" spans="1:9" ht="19.5" x14ac:dyDescent="0.3">
      <c r="A1" s="1" t="s">
        <v>447</v>
      </c>
    </row>
    <row r="3" spans="1:9" x14ac:dyDescent="0.25">
      <c r="A3" s="27" t="s">
        <v>55</v>
      </c>
      <c r="B3" s="28"/>
      <c r="C3" s="28"/>
      <c r="D3" s="28"/>
      <c r="E3" s="28"/>
      <c r="F3" s="28"/>
      <c r="G3" s="28"/>
      <c r="H3" s="28"/>
      <c r="I3" s="28"/>
    </row>
    <row r="4" spans="1:9" x14ac:dyDescent="0.25">
      <c r="A4" s="28"/>
      <c r="B4" s="28"/>
      <c r="C4" s="28"/>
      <c r="D4" s="28"/>
      <c r="E4" s="28"/>
      <c r="F4" s="28"/>
      <c r="G4" s="28"/>
      <c r="H4" s="28"/>
      <c r="I4" s="28"/>
    </row>
    <row r="5" spans="1:9" ht="51" customHeight="1" x14ac:dyDescent="0.25">
      <c r="A5" s="28"/>
      <c r="B5" s="28"/>
      <c r="C5" s="28"/>
      <c r="D5" s="28"/>
      <c r="E5" s="28"/>
      <c r="F5" s="28"/>
      <c r="G5" s="28"/>
      <c r="H5" s="28"/>
      <c r="I5" s="28"/>
    </row>
    <row r="7" spans="1:9" x14ac:dyDescent="0.25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3" t="s">
        <v>63</v>
      </c>
      <c r="I7" s="3" t="s">
        <v>64</v>
      </c>
    </row>
    <row r="8" spans="1:9" x14ac:dyDescent="0.25">
      <c r="A8" s="4" t="s">
        <v>65</v>
      </c>
      <c r="B8" s="5" t="s">
        <v>66</v>
      </c>
      <c r="C8" s="4" t="s">
        <v>67</v>
      </c>
      <c r="D8" s="4" t="s">
        <v>68</v>
      </c>
      <c r="E8" s="7">
        <v>1</v>
      </c>
      <c r="F8" s="4" t="s">
        <v>69</v>
      </c>
      <c r="G8" s="4" t="str">
        <f t="shared" ref="G8:G17" si="0">IF(F8="Resolved", "Low Priority", IF(OR(D8="Critical", E8&gt;3, C8="Enterprise"), "High Priority", IF(OR(D8="Major", E8&gt;=2), "Medium Priority", "Low Priority")))</f>
        <v>High Priority</v>
      </c>
      <c r="H8" s="4" t="str">
        <f t="shared" ref="H8:H17" si="1">IF(AND(G8="High Priority", E8&gt;=3), "SLA BREACH RISK", "SLA Compliant")</f>
        <v>SLA Compliant</v>
      </c>
      <c r="I8" s="4" t="str">
        <f t="shared" ref="I8:I17" si="2">IF(G8="High Priority", "Escalate to Tier 2", IF(G8="Medium Priority", "Standard Queue", "Close Ticket"))</f>
        <v>Escalate to Tier 2</v>
      </c>
    </row>
    <row r="9" spans="1:9" x14ac:dyDescent="0.25">
      <c r="A9" s="4" t="s">
        <v>70</v>
      </c>
      <c r="B9" s="5" t="s">
        <v>71</v>
      </c>
      <c r="C9" s="4" t="s">
        <v>67</v>
      </c>
      <c r="D9" s="4" t="s">
        <v>72</v>
      </c>
      <c r="E9" s="7">
        <v>4</v>
      </c>
      <c r="F9" s="4" t="s">
        <v>69</v>
      </c>
      <c r="G9" s="4" t="str">
        <f t="shared" si="0"/>
        <v>High Priority</v>
      </c>
      <c r="H9" s="4" t="str">
        <f t="shared" si="1"/>
        <v>SLA BREACH RISK</v>
      </c>
      <c r="I9" s="4" t="str">
        <f t="shared" si="2"/>
        <v>Escalate to Tier 2</v>
      </c>
    </row>
    <row r="10" spans="1:9" x14ac:dyDescent="0.25">
      <c r="A10" s="4" t="s">
        <v>73</v>
      </c>
      <c r="B10" s="5" t="s">
        <v>10</v>
      </c>
      <c r="C10" s="4" t="s">
        <v>74</v>
      </c>
      <c r="D10" s="4" t="s">
        <v>75</v>
      </c>
      <c r="E10" s="7">
        <v>2</v>
      </c>
      <c r="F10" s="4" t="s">
        <v>69</v>
      </c>
      <c r="G10" s="4" t="str">
        <f t="shared" si="0"/>
        <v>Medium Priority</v>
      </c>
      <c r="H10" s="4" t="str">
        <f t="shared" si="1"/>
        <v>SLA Compliant</v>
      </c>
      <c r="I10" s="4" t="str">
        <f t="shared" si="2"/>
        <v>Standard Queue</v>
      </c>
    </row>
    <row r="11" spans="1:9" x14ac:dyDescent="0.25">
      <c r="A11" s="4" t="s">
        <v>76</v>
      </c>
      <c r="B11" s="5" t="s">
        <v>13</v>
      </c>
      <c r="C11" s="4" t="s">
        <v>74</v>
      </c>
      <c r="D11" s="4" t="s">
        <v>72</v>
      </c>
      <c r="E11" s="7">
        <v>1</v>
      </c>
      <c r="F11" s="4" t="s">
        <v>77</v>
      </c>
      <c r="G11" s="4" t="str">
        <f t="shared" si="0"/>
        <v>Low Priority</v>
      </c>
      <c r="H11" s="4" t="str">
        <f t="shared" si="1"/>
        <v>SLA Compliant</v>
      </c>
      <c r="I11" s="4" t="str">
        <f t="shared" si="2"/>
        <v>Close Ticket</v>
      </c>
    </row>
    <row r="12" spans="1:9" x14ac:dyDescent="0.25">
      <c r="A12" s="4" t="s">
        <v>78</v>
      </c>
      <c r="B12" s="5" t="s">
        <v>79</v>
      </c>
      <c r="C12" s="4" t="s">
        <v>67</v>
      </c>
      <c r="D12" s="4" t="s">
        <v>75</v>
      </c>
      <c r="E12" s="7">
        <v>5</v>
      </c>
      <c r="F12" s="4" t="s">
        <v>69</v>
      </c>
      <c r="G12" s="4" t="str">
        <f t="shared" si="0"/>
        <v>High Priority</v>
      </c>
      <c r="H12" s="4" t="str">
        <f t="shared" si="1"/>
        <v>SLA BREACH RISK</v>
      </c>
      <c r="I12" s="4" t="str">
        <f t="shared" si="2"/>
        <v>Escalate to Tier 2</v>
      </c>
    </row>
    <row r="13" spans="1:9" x14ac:dyDescent="0.25">
      <c r="A13" s="4" t="s">
        <v>80</v>
      </c>
      <c r="B13" s="5" t="s">
        <v>15</v>
      </c>
      <c r="C13" s="4" t="s">
        <v>74</v>
      </c>
      <c r="D13" s="4" t="s">
        <v>68</v>
      </c>
      <c r="E13" s="7">
        <v>2</v>
      </c>
      <c r="F13" s="4" t="s">
        <v>69</v>
      </c>
      <c r="G13" s="4" t="str">
        <f t="shared" si="0"/>
        <v>High Priority</v>
      </c>
      <c r="H13" s="4" t="str">
        <f t="shared" si="1"/>
        <v>SLA Compliant</v>
      </c>
      <c r="I13" s="4" t="str">
        <f t="shared" si="2"/>
        <v>Escalate to Tier 2</v>
      </c>
    </row>
    <row r="14" spans="1:9" x14ac:dyDescent="0.25">
      <c r="A14" s="4" t="s">
        <v>81</v>
      </c>
      <c r="B14" s="5" t="s">
        <v>82</v>
      </c>
      <c r="C14" s="4" t="s">
        <v>67</v>
      </c>
      <c r="D14" s="4" t="s">
        <v>72</v>
      </c>
      <c r="E14" s="7">
        <v>1</v>
      </c>
      <c r="F14" s="4" t="s">
        <v>77</v>
      </c>
      <c r="G14" s="4" t="str">
        <f t="shared" si="0"/>
        <v>Low Priority</v>
      </c>
      <c r="H14" s="4" t="str">
        <f t="shared" si="1"/>
        <v>SLA Compliant</v>
      </c>
      <c r="I14" s="4" t="str">
        <f t="shared" si="2"/>
        <v>Close Ticket</v>
      </c>
    </row>
    <row r="15" spans="1:9" x14ac:dyDescent="0.25">
      <c r="A15" s="4" t="s">
        <v>83</v>
      </c>
      <c r="B15" s="5" t="s">
        <v>22</v>
      </c>
      <c r="C15" s="4" t="s">
        <v>74</v>
      </c>
      <c r="D15" s="4" t="s">
        <v>75</v>
      </c>
      <c r="E15" s="7">
        <v>3</v>
      </c>
      <c r="F15" s="4" t="s">
        <v>69</v>
      </c>
      <c r="G15" s="4" t="str">
        <f t="shared" si="0"/>
        <v>Medium Priority</v>
      </c>
      <c r="H15" s="4" t="str">
        <f t="shared" si="1"/>
        <v>SLA Compliant</v>
      </c>
      <c r="I15" s="4" t="str">
        <f t="shared" si="2"/>
        <v>Standard Queue</v>
      </c>
    </row>
    <row r="16" spans="1:9" x14ac:dyDescent="0.25">
      <c r="A16" s="4" t="s">
        <v>84</v>
      </c>
      <c r="B16" s="5" t="s">
        <v>85</v>
      </c>
      <c r="C16" s="4" t="s">
        <v>67</v>
      </c>
      <c r="D16" s="4" t="s">
        <v>75</v>
      </c>
      <c r="E16" s="7">
        <v>1</v>
      </c>
      <c r="F16" s="4" t="s">
        <v>69</v>
      </c>
      <c r="G16" s="4" t="str">
        <f t="shared" si="0"/>
        <v>High Priority</v>
      </c>
      <c r="H16" s="4" t="str">
        <f t="shared" si="1"/>
        <v>SLA Compliant</v>
      </c>
      <c r="I16" s="4" t="str">
        <f t="shared" si="2"/>
        <v>Escalate to Tier 2</v>
      </c>
    </row>
    <row r="17" spans="1:9" x14ac:dyDescent="0.25">
      <c r="A17" s="4" t="s">
        <v>86</v>
      </c>
      <c r="B17" s="5" t="s">
        <v>20</v>
      </c>
      <c r="C17" s="4" t="s">
        <v>74</v>
      </c>
      <c r="D17" s="4" t="s">
        <v>72</v>
      </c>
      <c r="E17" s="7">
        <v>2</v>
      </c>
      <c r="F17" s="4" t="s">
        <v>69</v>
      </c>
      <c r="G17" s="4" t="str">
        <f t="shared" si="0"/>
        <v>Medium Priority</v>
      </c>
      <c r="H17" s="4" t="str">
        <f t="shared" si="1"/>
        <v>SLA Compliant</v>
      </c>
      <c r="I17" s="4" t="str">
        <f t="shared" si="2"/>
        <v>Standard Queue</v>
      </c>
    </row>
  </sheetData>
  <mergeCells count="1">
    <mergeCell ref="A3:I5"/>
  </mergeCells>
  <conditionalFormatting sqref="G8:G17">
    <cfRule type="expression" dxfId="21" priority="1">
      <formula>$G8="High Priority"</formula>
    </cfRule>
    <cfRule type="expression" dxfId="20" priority="2">
      <formula>$G8="Medium Priority"</formula>
    </cfRule>
    <cfRule type="expression" dxfId="19" priority="3">
      <formula>$G8="Low Priority"</formula>
    </cfRule>
  </conditionalFormatting>
  <conditionalFormatting sqref="H8:H17">
    <cfRule type="expression" dxfId="18" priority="4">
      <formula>$H8="SLA BREACH RISK"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22" customWidth="1"/>
    <col min="3" max="6" width="20" customWidth="1"/>
    <col min="7" max="7" width="24" customWidth="1"/>
    <col min="8" max="10" width="12" customWidth="1"/>
    <col min="11" max="11" width="18" customWidth="1"/>
    <col min="12" max="12" width="16" customWidth="1"/>
  </cols>
  <sheetData>
    <row r="1" spans="1:12" ht="19.5" x14ac:dyDescent="0.3">
      <c r="A1" s="1" t="s">
        <v>446</v>
      </c>
    </row>
    <row r="3" spans="1:12" x14ac:dyDescent="0.25">
      <c r="A3" s="27" t="s">
        <v>87</v>
      </c>
      <c r="B3" s="28"/>
      <c r="C3" s="28"/>
      <c r="D3" s="28"/>
      <c r="E3" s="28"/>
      <c r="F3" s="28"/>
      <c r="G3" s="28"/>
      <c r="H3" s="28"/>
      <c r="I3" s="28"/>
    </row>
    <row r="4" spans="1:12" x14ac:dyDescent="0.25">
      <c r="A4" s="28"/>
      <c r="B4" s="28"/>
      <c r="C4" s="28"/>
      <c r="D4" s="28"/>
      <c r="E4" s="28"/>
      <c r="F4" s="28"/>
      <c r="G4" s="28"/>
      <c r="H4" s="28"/>
      <c r="I4" s="28"/>
    </row>
    <row r="5" spans="1:12" ht="25.5" customHeight="1" x14ac:dyDescent="0.25">
      <c r="A5" s="28"/>
      <c r="B5" s="28"/>
      <c r="C5" s="28"/>
      <c r="D5" s="28"/>
      <c r="E5" s="28"/>
      <c r="F5" s="28"/>
      <c r="G5" s="28"/>
      <c r="H5" s="28"/>
      <c r="I5" s="28"/>
    </row>
    <row r="7" spans="1:12" x14ac:dyDescent="0.25">
      <c r="A7" s="3" t="s">
        <v>1</v>
      </c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K7" s="8" t="s">
        <v>94</v>
      </c>
      <c r="L7" s="8" t="s">
        <v>95</v>
      </c>
    </row>
    <row r="8" spans="1:12" x14ac:dyDescent="0.25">
      <c r="A8" s="4" t="s">
        <v>96</v>
      </c>
      <c r="B8" s="5" t="s">
        <v>10</v>
      </c>
      <c r="C8" s="9">
        <v>1200000</v>
      </c>
      <c r="D8" s="6">
        <f t="shared" ref="D8:D17" si="0">VLOOKUP(C8, $K$8:$L$12, 2, TRUE)</f>
        <v>0.05</v>
      </c>
      <c r="E8" s="9">
        <f t="shared" ref="E8:E17" si="1">C8*D8</f>
        <v>60000</v>
      </c>
      <c r="F8" s="4" t="str">
        <f t="shared" ref="F8:F17" si="2">IF(D8&gt;=0.12, "Top Performer", IF(D8&gt;=0.08, "Core Contributor", "Developing"))</f>
        <v>Developing</v>
      </c>
      <c r="G8" s="4" t="str">
        <f t="shared" ref="G8:G17" si="3">IF(E8&gt;0, "Approved for Payroll", "Base Salary Only")</f>
        <v>Approved for Payroll</v>
      </c>
      <c r="K8" s="10">
        <v>0</v>
      </c>
      <c r="L8" s="11">
        <v>0</v>
      </c>
    </row>
    <row r="9" spans="1:12" x14ac:dyDescent="0.25">
      <c r="A9" s="4" t="s">
        <v>97</v>
      </c>
      <c r="B9" s="5" t="s">
        <v>13</v>
      </c>
      <c r="C9" s="9">
        <v>4200000</v>
      </c>
      <c r="D9" s="6">
        <f t="shared" si="0"/>
        <v>0.12</v>
      </c>
      <c r="E9" s="9">
        <f t="shared" si="1"/>
        <v>504000</v>
      </c>
      <c r="F9" s="4" t="str">
        <f t="shared" si="2"/>
        <v>Top Performer</v>
      </c>
      <c r="G9" s="4" t="str">
        <f t="shared" si="3"/>
        <v>Approved for Payroll</v>
      </c>
      <c r="K9" s="10">
        <v>1000000</v>
      </c>
      <c r="L9" s="11">
        <v>0.05</v>
      </c>
    </row>
    <row r="10" spans="1:12" x14ac:dyDescent="0.25">
      <c r="A10" s="4" t="s">
        <v>98</v>
      </c>
      <c r="B10" s="5" t="s">
        <v>15</v>
      </c>
      <c r="C10" s="9">
        <v>850000</v>
      </c>
      <c r="D10" s="6">
        <f t="shared" si="0"/>
        <v>0</v>
      </c>
      <c r="E10" s="9">
        <f t="shared" si="1"/>
        <v>0</v>
      </c>
      <c r="F10" s="4" t="str">
        <f t="shared" si="2"/>
        <v>Developing</v>
      </c>
      <c r="G10" s="4" t="str">
        <f t="shared" si="3"/>
        <v>Base Salary Only</v>
      </c>
      <c r="K10" s="10">
        <v>2000000</v>
      </c>
      <c r="L10" s="11">
        <v>0.08</v>
      </c>
    </row>
    <row r="11" spans="1:12" x14ac:dyDescent="0.25">
      <c r="A11" s="4" t="s">
        <v>99</v>
      </c>
      <c r="B11" s="5" t="s">
        <v>18</v>
      </c>
      <c r="C11" s="9">
        <v>2800000</v>
      </c>
      <c r="D11" s="6">
        <f t="shared" si="0"/>
        <v>0.08</v>
      </c>
      <c r="E11" s="9">
        <f t="shared" si="1"/>
        <v>224000</v>
      </c>
      <c r="F11" s="4" t="str">
        <f t="shared" si="2"/>
        <v>Core Contributor</v>
      </c>
      <c r="G11" s="4" t="str">
        <f t="shared" si="3"/>
        <v>Approved for Payroll</v>
      </c>
      <c r="K11" s="10">
        <v>3500000</v>
      </c>
      <c r="L11" s="11">
        <v>0.12</v>
      </c>
    </row>
    <row r="12" spans="1:12" x14ac:dyDescent="0.25">
      <c r="A12" s="4" t="s">
        <v>100</v>
      </c>
      <c r="B12" s="5" t="s">
        <v>20</v>
      </c>
      <c r="C12" s="9">
        <v>5500000</v>
      </c>
      <c r="D12" s="6">
        <f t="shared" si="0"/>
        <v>0.15</v>
      </c>
      <c r="E12" s="9">
        <f t="shared" si="1"/>
        <v>825000</v>
      </c>
      <c r="F12" s="4" t="str">
        <f t="shared" si="2"/>
        <v>Top Performer</v>
      </c>
      <c r="G12" s="4" t="str">
        <f t="shared" si="3"/>
        <v>Approved for Payroll</v>
      </c>
      <c r="K12" s="10">
        <v>5000000</v>
      </c>
      <c r="L12" s="11">
        <v>0.15</v>
      </c>
    </row>
    <row r="13" spans="1:12" x14ac:dyDescent="0.25">
      <c r="A13" s="4" t="s">
        <v>101</v>
      </c>
      <c r="B13" s="5" t="s">
        <v>22</v>
      </c>
      <c r="C13" s="9">
        <v>3600000</v>
      </c>
      <c r="D13" s="6">
        <f t="shared" si="0"/>
        <v>0.12</v>
      </c>
      <c r="E13" s="9">
        <f t="shared" si="1"/>
        <v>432000</v>
      </c>
      <c r="F13" s="4" t="str">
        <f t="shared" si="2"/>
        <v>Top Performer</v>
      </c>
      <c r="G13" s="4" t="str">
        <f t="shared" si="3"/>
        <v>Approved for Payroll</v>
      </c>
    </row>
    <row r="14" spans="1:12" x14ac:dyDescent="0.25">
      <c r="A14" s="4" t="s">
        <v>102</v>
      </c>
      <c r="B14" s="5" t="s">
        <v>24</v>
      </c>
      <c r="C14" s="9">
        <v>1900000</v>
      </c>
      <c r="D14" s="6">
        <f t="shared" si="0"/>
        <v>0.05</v>
      </c>
      <c r="E14" s="9">
        <f t="shared" si="1"/>
        <v>95000</v>
      </c>
      <c r="F14" s="4" t="str">
        <f t="shared" si="2"/>
        <v>Developing</v>
      </c>
      <c r="G14" s="4" t="str">
        <f t="shared" si="3"/>
        <v>Approved for Payroll</v>
      </c>
    </row>
    <row r="15" spans="1:12" x14ac:dyDescent="0.25">
      <c r="A15" s="4" t="s">
        <v>103</v>
      </c>
      <c r="B15" s="5" t="s">
        <v>27</v>
      </c>
      <c r="C15" s="9">
        <v>6100000</v>
      </c>
      <c r="D15" s="6">
        <f t="shared" si="0"/>
        <v>0.15</v>
      </c>
      <c r="E15" s="9">
        <f t="shared" si="1"/>
        <v>915000</v>
      </c>
      <c r="F15" s="4" t="str">
        <f t="shared" si="2"/>
        <v>Top Performer</v>
      </c>
      <c r="G15" s="4" t="str">
        <f t="shared" si="3"/>
        <v>Approved for Payroll</v>
      </c>
    </row>
    <row r="16" spans="1:12" x14ac:dyDescent="0.25">
      <c r="A16" s="4" t="s">
        <v>104</v>
      </c>
      <c r="B16" s="5" t="s">
        <v>29</v>
      </c>
      <c r="C16" s="9">
        <v>950000</v>
      </c>
      <c r="D16" s="6">
        <f t="shared" si="0"/>
        <v>0</v>
      </c>
      <c r="E16" s="9">
        <f t="shared" si="1"/>
        <v>0</v>
      </c>
      <c r="F16" s="4" t="str">
        <f t="shared" si="2"/>
        <v>Developing</v>
      </c>
      <c r="G16" s="4" t="str">
        <f t="shared" si="3"/>
        <v>Base Salary Only</v>
      </c>
    </row>
    <row r="17" spans="1:7" x14ac:dyDescent="0.25">
      <c r="A17" s="4" t="s">
        <v>105</v>
      </c>
      <c r="B17" s="5" t="s">
        <v>31</v>
      </c>
      <c r="C17" s="9">
        <v>2300000</v>
      </c>
      <c r="D17" s="6">
        <f t="shared" si="0"/>
        <v>0.08</v>
      </c>
      <c r="E17" s="9">
        <f t="shared" si="1"/>
        <v>184000</v>
      </c>
      <c r="F17" s="4" t="str">
        <f t="shared" si="2"/>
        <v>Core Contributor</v>
      </c>
      <c r="G17" s="4" t="str">
        <f t="shared" si="3"/>
        <v>Approved for Payroll</v>
      </c>
    </row>
  </sheetData>
  <mergeCells count="1">
    <mergeCell ref="A3:I5"/>
  </mergeCells>
  <conditionalFormatting sqref="F8:F17">
    <cfRule type="expression" dxfId="17" priority="1">
      <formula>$F8="Top Performer"</formula>
    </cfRule>
    <cfRule type="expression" dxfId="16" priority="2">
      <formula>$F8="Developing"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workbookViewId="0">
      <selection activeCell="A2" sqref="A2"/>
    </sheetView>
  </sheetViews>
  <sheetFormatPr defaultRowHeight="15" x14ac:dyDescent="0.25"/>
  <cols>
    <col min="1" max="1" width="22" customWidth="1"/>
    <col min="2" max="2" width="28" customWidth="1"/>
    <col min="3" max="3" width="25" customWidth="1"/>
    <col min="4" max="4" width="26" customWidth="1"/>
    <col min="5" max="5" width="16" customWidth="1"/>
    <col min="6" max="6" width="18" customWidth="1"/>
    <col min="7" max="10" width="12" customWidth="1"/>
  </cols>
  <sheetData>
    <row r="1" spans="1:10" ht="19.5" x14ac:dyDescent="0.3">
      <c r="A1" s="1" t="s">
        <v>445</v>
      </c>
    </row>
    <row r="3" spans="1:10" x14ac:dyDescent="0.25">
      <c r="A3" s="27" t="s">
        <v>106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27.7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</row>
    <row r="7" spans="1:10" x14ac:dyDescent="0.25">
      <c r="A7" s="29" t="s">
        <v>107</v>
      </c>
      <c r="B7" s="30"/>
      <c r="C7" s="30"/>
      <c r="D7" s="30"/>
      <c r="E7" s="30"/>
    </row>
    <row r="8" spans="1:10" x14ac:dyDescent="0.25">
      <c r="A8" s="12" t="s">
        <v>108</v>
      </c>
      <c r="C8" s="13" t="s">
        <v>109</v>
      </c>
    </row>
    <row r="9" spans="1:10" x14ac:dyDescent="0.25">
      <c r="A9" s="12" t="s">
        <v>110</v>
      </c>
      <c r="C9" s="14" t="str">
        <f>INDEX(B14:B23, MATCH(C8, A14:A23, 0))</f>
        <v>Wireless Router</v>
      </c>
    </row>
    <row r="10" spans="1:10" x14ac:dyDescent="0.25">
      <c r="A10" s="12" t="s">
        <v>111</v>
      </c>
      <c r="C10" s="14" t="str">
        <f>INDEX(D14:D23, MATCH(C8, A14:A23, 0))</f>
        <v>D-Link India</v>
      </c>
    </row>
    <row r="11" spans="1:10" x14ac:dyDescent="0.25">
      <c r="A11" s="12" t="s">
        <v>112</v>
      </c>
      <c r="C11" s="15">
        <f>INDEX(E14:E23, MATCH(C8, A14:A23, 0))</f>
        <v>3200</v>
      </c>
    </row>
    <row r="13" spans="1:10" x14ac:dyDescent="0.25">
      <c r="A13" s="3" t="s">
        <v>113</v>
      </c>
      <c r="B13" s="3" t="s">
        <v>114</v>
      </c>
      <c r="C13" s="3" t="s">
        <v>115</v>
      </c>
      <c r="D13" s="3" t="s">
        <v>116</v>
      </c>
      <c r="E13" s="3" t="s">
        <v>117</v>
      </c>
      <c r="F13" s="3" t="s">
        <v>118</v>
      </c>
    </row>
    <row r="14" spans="1:10" x14ac:dyDescent="0.25">
      <c r="A14" s="4" t="s">
        <v>119</v>
      </c>
      <c r="B14" s="5" t="s">
        <v>120</v>
      </c>
      <c r="C14" s="5" t="s">
        <v>121</v>
      </c>
      <c r="D14" s="5" t="s">
        <v>122</v>
      </c>
      <c r="E14" s="16">
        <v>68000</v>
      </c>
      <c r="F14" s="4" t="s">
        <v>123</v>
      </c>
    </row>
    <row r="15" spans="1:10" x14ac:dyDescent="0.25">
      <c r="A15" s="4" t="s">
        <v>124</v>
      </c>
      <c r="B15" s="5" t="s">
        <v>125</v>
      </c>
      <c r="C15" s="5" t="s">
        <v>126</v>
      </c>
      <c r="D15" s="5" t="s">
        <v>127</v>
      </c>
      <c r="E15" s="16">
        <v>14500</v>
      </c>
      <c r="F15" s="4" t="s">
        <v>123</v>
      </c>
    </row>
    <row r="16" spans="1:10" x14ac:dyDescent="0.25">
      <c r="A16" s="4" t="s">
        <v>109</v>
      </c>
      <c r="B16" s="5" t="s">
        <v>128</v>
      </c>
      <c r="C16" s="5" t="s">
        <v>129</v>
      </c>
      <c r="D16" s="5" t="s">
        <v>130</v>
      </c>
      <c r="E16" s="16">
        <v>3200</v>
      </c>
      <c r="F16" s="4" t="s">
        <v>123</v>
      </c>
    </row>
    <row r="17" spans="1:6" x14ac:dyDescent="0.25">
      <c r="A17" s="4" t="s">
        <v>131</v>
      </c>
      <c r="B17" s="5" t="s">
        <v>132</v>
      </c>
      <c r="C17" s="5" t="s">
        <v>121</v>
      </c>
      <c r="D17" s="5" t="s">
        <v>133</v>
      </c>
      <c r="E17" s="16">
        <v>24000</v>
      </c>
      <c r="F17" s="4" t="s">
        <v>134</v>
      </c>
    </row>
    <row r="18" spans="1:6" x14ac:dyDescent="0.25">
      <c r="A18" s="4" t="s">
        <v>135</v>
      </c>
      <c r="B18" s="5" t="s">
        <v>136</v>
      </c>
      <c r="C18" s="5" t="s">
        <v>126</v>
      </c>
      <c r="D18" s="5" t="s">
        <v>127</v>
      </c>
      <c r="E18" s="16">
        <v>31000</v>
      </c>
      <c r="F18" s="4" t="s">
        <v>123</v>
      </c>
    </row>
    <row r="19" spans="1:6" x14ac:dyDescent="0.25">
      <c r="A19" s="4" t="s">
        <v>137</v>
      </c>
      <c r="B19" s="5" t="s">
        <v>138</v>
      </c>
      <c r="C19" s="5" t="s">
        <v>121</v>
      </c>
      <c r="D19" s="5" t="s">
        <v>139</v>
      </c>
      <c r="E19" s="16">
        <v>18500</v>
      </c>
      <c r="F19" s="4" t="s">
        <v>123</v>
      </c>
    </row>
    <row r="20" spans="1:6" x14ac:dyDescent="0.25">
      <c r="A20" s="4" t="s">
        <v>140</v>
      </c>
      <c r="B20" s="5" t="s">
        <v>141</v>
      </c>
      <c r="C20" s="5" t="s">
        <v>121</v>
      </c>
      <c r="D20" s="5" t="s">
        <v>142</v>
      </c>
      <c r="E20" s="16">
        <v>75000</v>
      </c>
      <c r="F20" s="4" t="s">
        <v>143</v>
      </c>
    </row>
    <row r="21" spans="1:6" x14ac:dyDescent="0.25">
      <c r="A21" s="4" t="s">
        <v>144</v>
      </c>
      <c r="B21" s="5" t="s">
        <v>145</v>
      </c>
      <c r="C21" s="5" t="s">
        <v>129</v>
      </c>
      <c r="D21" s="5" t="s">
        <v>146</v>
      </c>
      <c r="E21" s="16">
        <v>45000</v>
      </c>
      <c r="F21" s="4" t="s">
        <v>123</v>
      </c>
    </row>
    <row r="22" spans="1:6" x14ac:dyDescent="0.25">
      <c r="A22" s="4" t="s">
        <v>147</v>
      </c>
      <c r="B22" s="5" t="s">
        <v>148</v>
      </c>
      <c r="C22" s="5" t="s">
        <v>149</v>
      </c>
      <c r="D22" s="5" t="s">
        <v>150</v>
      </c>
      <c r="E22" s="16">
        <v>2200</v>
      </c>
      <c r="F22" s="4" t="s">
        <v>123</v>
      </c>
    </row>
    <row r="23" spans="1:6" x14ac:dyDescent="0.25">
      <c r="A23" s="4" t="s">
        <v>151</v>
      </c>
      <c r="B23" s="5" t="s">
        <v>152</v>
      </c>
      <c r="C23" s="5" t="s">
        <v>121</v>
      </c>
      <c r="D23" s="5" t="s">
        <v>153</v>
      </c>
      <c r="E23" s="16">
        <v>12500</v>
      </c>
      <c r="F23" s="4" t="s">
        <v>123</v>
      </c>
    </row>
  </sheetData>
  <mergeCells count="2">
    <mergeCell ref="A7:E7"/>
    <mergeCell ref="A3:J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22" customWidth="1"/>
    <col min="3" max="3" width="30" customWidth="1"/>
    <col min="4" max="4" width="22" customWidth="1"/>
    <col min="5" max="5" width="26" customWidth="1"/>
    <col min="6" max="7" width="18" customWidth="1"/>
    <col min="8" max="8" width="24" customWidth="1"/>
  </cols>
  <sheetData>
    <row r="1" spans="1:8" ht="19.5" x14ac:dyDescent="0.3">
      <c r="A1" s="1" t="s">
        <v>444</v>
      </c>
    </row>
    <row r="3" spans="1:8" x14ac:dyDescent="0.25">
      <c r="A3" s="27" t="s">
        <v>154</v>
      </c>
      <c r="B3" s="28"/>
      <c r="C3" s="28"/>
      <c r="D3" s="28"/>
      <c r="E3" s="28"/>
      <c r="F3" s="28"/>
      <c r="G3" s="28"/>
      <c r="H3" s="28"/>
    </row>
    <row r="4" spans="1:8" x14ac:dyDescent="0.25">
      <c r="A4" s="28"/>
      <c r="B4" s="28"/>
      <c r="C4" s="28"/>
      <c r="D4" s="28"/>
      <c r="E4" s="28"/>
      <c r="F4" s="28"/>
      <c r="G4" s="28"/>
      <c r="H4" s="28"/>
    </row>
    <row r="5" spans="1:8" ht="24.75" customHeight="1" x14ac:dyDescent="0.25">
      <c r="A5" s="28"/>
      <c r="B5" s="28"/>
      <c r="C5" s="28"/>
      <c r="D5" s="28"/>
      <c r="E5" s="28"/>
      <c r="F5" s="28"/>
      <c r="G5" s="28"/>
      <c r="H5" s="28"/>
    </row>
    <row r="7" spans="1:8" ht="30" x14ac:dyDescent="0.25">
      <c r="A7" s="3" t="s">
        <v>155</v>
      </c>
      <c r="B7" s="3" t="s">
        <v>156</v>
      </c>
      <c r="C7" s="3" t="s">
        <v>157</v>
      </c>
      <c r="D7" s="3" t="s">
        <v>158</v>
      </c>
      <c r="E7" s="3" t="s">
        <v>159</v>
      </c>
      <c r="F7" s="3" t="s">
        <v>160</v>
      </c>
      <c r="G7" s="3" t="s">
        <v>161</v>
      </c>
      <c r="H7" s="3" t="s">
        <v>162</v>
      </c>
    </row>
    <row r="8" spans="1:8" x14ac:dyDescent="0.25">
      <c r="A8" s="4" t="s">
        <v>163</v>
      </c>
      <c r="B8" s="5" t="s">
        <v>10</v>
      </c>
      <c r="C8" s="5" t="s">
        <v>164</v>
      </c>
      <c r="D8" s="4" t="str">
        <f t="shared" ref="D8:D17" si="0">MID(C8, FIND("@", C8)+1, LEN(C8))</f>
        <v>pccoepune.org</v>
      </c>
      <c r="E8" s="5" t="str">
        <f t="shared" ref="E8:E17" si="1">UPPER(RIGHT(B8, LEN(B8)-FIND(" ", B8))) &amp; ", " &amp; LEFT(B8, FIND(" ", B8)-1)</f>
        <v>SHARMA, Aarav</v>
      </c>
      <c r="F8" s="4">
        <f t="shared" ref="F8:F17" si="2">LEN(A8)</f>
        <v>8</v>
      </c>
      <c r="G8" s="4" t="str">
        <f t="shared" ref="G8:G17" si="3">IF(F8=8, "Valid ID", "Invalid Length")</f>
        <v>Valid ID</v>
      </c>
      <c r="H8" s="5" t="s">
        <v>165</v>
      </c>
    </row>
    <row r="9" spans="1:8" x14ac:dyDescent="0.25">
      <c r="A9" s="4" t="s">
        <v>166</v>
      </c>
      <c r="B9" s="5" t="s">
        <v>13</v>
      </c>
      <c r="C9" s="5" t="s">
        <v>167</v>
      </c>
      <c r="D9" s="4" t="str">
        <f t="shared" si="0"/>
        <v>gmail.com</v>
      </c>
      <c r="E9" s="5" t="str">
        <f t="shared" si="1"/>
        <v>NAIR, Priya</v>
      </c>
      <c r="F9" s="4">
        <f t="shared" si="2"/>
        <v>8</v>
      </c>
      <c r="G9" s="4" t="str">
        <f t="shared" si="3"/>
        <v>Valid ID</v>
      </c>
      <c r="H9" s="5" t="s">
        <v>168</v>
      </c>
    </row>
    <row r="10" spans="1:8" x14ac:dyDescent="0.25">
      <c r="A10" s="4" t="s">
        <v>169</v>
      </c>
      <c r="B10" s="5" t="s">
        <v>15</v>
      </c>
      <c r="C10" s="5" t="s">
        <v>170</v>
      </c>
      <c r="D10" s="4" t="str">
        <f t="shared" si="0"/>
        <v>yahoo.co.in</v>
      </c>
      <c r="E10" s="5" t="str">
        <f t="shared" si="1"/>
        <v>MEHTA, Rohan</v>
      </c>
      <c r="F10" s="4">
        <f t="shared" si="2"/>
        <v>8</v>
      </c>
      <c r="G10" s="4" t="str">
        <f t="shared" si="3"/>
        <v>Valid ID</v>
      </c>
      <c r="H10" s="5" t="s">
        <v>171</v>
      </c>
    </row>
    <row r="11" spans="1:8" x14ac:dyDescent="0.25">
      <c r="A11" s="4" t="s">
        <v>172</v>
      </c>
      <c r="B11" s="5" t="s">
        <v>18</v>
      </c>
      <c r="C11" s="5" t="s">
        <v>173</v>
      </c>
      <c r="D11" s="4" t="str">
        <f t="shared" si="0"/>
        <v>pccoepune.org</v>
      </c>
      <c r="E11" s="5" t="str">
        <f t="shared" si="1"/>
        <v>IYER, Ananya</v>
      </c>
      <c r="F11" s="4">
        <f t="shared" si="2"/>
        <v>8</v>
      </c>
      <c r="G11" s="4" t="str">
        <f t="shared" si="3"/>
        <v>Valid ID</v>
      </c>
      <c r="H11" s="5" t="s">
        <v>165</v>
      </c>
    </row>
    <row r="12" spans="1:8" x14ac:dyDescent="0.25">
      <c r="A12" s="4" t="s">
        <v>174</v>
      </c>
      <c r="B12" s="5" t="s">
        <v>20</v>
      </c>
      <c r="C12" s="5" t="s">
        <v>175</v>
      </c>
      <c r="D12" s="4" t="str">
        <f t="shared" si="0"/>
        <v>outlook.com</v>
      </c>
      <c r="E12" s="5" t="str">
        <f t="shared" si="1"/>
        <v>PATEL, Vikram</v>
      </c>
      <c r="F12" s="4">
        <f t="shared" si="2"/>
        <v>8</v>
      </c>
      <c r="G12" s="4" t="str">
        <f t="shared" si="3"/>
        <v>Valid ID</v>
      </c>
      <c r="H12" s="5" t="s">
        <v>176</v>
      </c>
    </row>
    <row r="13" spans="1:8" x14ac:dyDescent="0.25">
      <c r="A13" s="4" t="s">
        <v>177</v>
      </c>
      <c r="B13" s="5" t="s">
        <v>22</v>
      </c>
      <c r="C13" s="5" t="s">
        <v>178</v>
      </c>
      <c r="D13" s="4" t="str">
        <f t="shared" si="0"/>
        <v>pccoepune.org</v>
      </c>
      <c r="E13" s="5" t="str">
        <f t="shared" si="1"/>
        <v>KULKARNI, Sneha</v>
      </c>
      <c r="F13" s="4">
        <f t="shared" si="2"/>
        <v>8</v>
      </c>
      <c r="G13" s="4" t="str">
        <f t="shared" si="3"/>
        <v>Valid ID</v>
      </c>
      <c r="H13" s="5" t="s">
        <v>171</v>
      </c>
    </row>
    <row r="14" spans="1:8" x14ac:dyDescent="0.25">
      <c r="A14" s="4" t="s">
        <v>179</v>
      </c>
      <c r="B14" s="5" t="s">
        <v>24</v>
      </c>
      <c r="C14" s="5" t="s">
        <v>180</v>
      </c>
      <c r="D14" s="4" t="str">
        <f t="shared" si="0"/>
        <v>gmail.com</v>
      </c>
      <c r="E14" s="5" t="str">
        <f t="shared" si="1"/>
        <v>DESHMUKH, Aditya</v>
      </c>
      <c r="F14" s="4">
        <f t="shared" si="2"/>
        <v>8</v>
      </c>
      <c r="G14" s="4" t="str">
        <f t="shared" si="3"/>
        <v>Valid ID</v>
      </c>
      <c r="H14" s="5" t="s">
        <v>181</v>
      </c>
    </row>
    <row r="15" spans="1:8" x14ac:dyDescent="0.25">
      <c r="A15" s="4" t="s">
        <v>182</v>
      </c>
      <c r="B15" s="5" t="s">
        <v>27</v>
      </c>
      <c r="C15" s="5" t="s">
        <v>183</v>
      </c>
      <c r="D15" s="4" t="str">
        <f t="shared" si="0"/>
        <v>pccoepune.org</v>
      </c>
      <c r="E15" s="5" t="str">
        <f t="shared" si="1"/>
        <v>HEGDE, Pooja</v>
      </c>
      <c r="F15" s="4">
        <f t="shared" si="2"/>
        <v>8</v>
      </c>
      <c r="G15" s="4" t="str">
        <f t="shared" si="3"/>
        <v>Valid ID</v>
      </c>
      <c r="H15" s="5" t="s">
        <v>165</v>
      </c>
    </row>
    <row r="16" spans="1:8" x14ac:dyDescent="0.25">
      <c r="A16" s="4" t="s">
        <v>184</v>
      </c>
      <c r="B16" s="5" t="s">
        <v>29</v>
      </c>
      <c r="C16" s="5" t="s">
        <v>185</v>
      </c>
      <c r="D16" s="4" t="str">
        <f t="shared" si="0"/>
        <v>rediffmail.com</v>
      </c>
      <c r="E16" s="5" t="str">
        <f t="shared" si="1"/>
        <v>RAO, Siddharth</v>
      </c>
      <c r="F16" s="4">
        <f t="shared" si="2"/>
        <v>8</v>
      </c>
      <c r="G16" s="4" t="str">
        <f t="shared" si="3"/>
        <v>Valid ID</v>
      </c>
      <c r="H16" s="5" t="s">
        <v>168</v>
      </c>
    </row>
    <row r="17" spans="1:8" x14ac:dyDescent="0.25">
      <c r="A17" s="4" t="s">
        <v>186</v>
      </c>
      <c r="B17" s="5" t="s">
        <v>31</v>
      </c>
      <c r="C17" s="5" t="s">
        <v>187</v>
      </c>
      <c r="D17" s="4" t="str">
        <f t="shared" si="0"/>
        <v>pccoepune.org</v>
      </c>
      <c r="E17" s="5" t="str">
        <f t="shared" si="1"/>
        <v>JOSHI, Neelam</v>
      </c>
      <c r="F17" s="4">
        <f t="shared" si="2"/>
        <v>8</v>
      </c>
      <c r="G17" s="4" t="str">
        <f t="shared" si="3"/>
        <v>Valid ID</v>
      </c>
      <c r="H17" s="5" t="s">
        <v>171</v>
      </c>
    </row>
  </sheetData>
  <mergeCells count="1">
    <mergeCell ref="A3:H5"/>
  </mergeCells>
  <conditionalFormatting sqref="G8:G17">
    <cfRule type="expression" dxfId="15" priority="1">
      <formula>$G8="Valid ID"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22" customWidth="1"/>
    <col min="3" max="3" width="30" customWidth="1"/>
    <col min="4" max="4" width="22" customWidth="1"/>
    <col min="5" max="5" width="16" customWidth="1"/>
    <col min="6" max="6" width="22" customWidth="1"/>
    <col min="7" max="7" width="26" customWidth="1"/>
    <col min="8" max="8" width="22" customWidth="1"/>
    <col min="9" max="9" width="12" customWidth="1"/>
  </cols>
  <sheetData>
    <row r="1" spans="1:9" ht="19.5" x14ac:dyDescent="0.3">
      <c r="A1" s="1" t="s">
        <v>443</v>
      </c>
    </row>
    <row r="3" spans="1:9" x14ac:dyDescent="0.25">
      <c r="A3" s="27" t="s">
        <v>188</v>
      </c>
      <c r="B3" s="28"/>
      <c r="C3" s="28"/>
      <c r="D3" s="28"/>
      <c r="E3" s="28"/>
      <c r="F3" s="28"/>
      <c r="G3" s="28"/>
      <c r="H3" s="28"/>
      <c r="I3" s="28"/>
    </row>
    <row r="4" spans="1:9" x14ac:dyDescent="0.25">
      <c r="A4" s="28"/>
      <c r="B4" s="28"/>
      <c r="C4" s="28"/>
      <c r="D4" s="28"/>
      <c r="E4" s="28"/>
      <c r="F4" s="28"/>
      <c r="G4" s="28"/>
      <c r="H4" s="28"/>
      <c r="I4" s="28"/>
    </row>
    <row r="5" spans="1:9" ht="40.5" customHeight="1" x14ac:dyDescent="0.25">
      <c r="A5" s="28"/>
      <c r="B5" s="28"/>
      <c r="C5" s="28"/>
      <c r="D5" s="28"/>
      <c r="E5" s="28"/>
      <c r="F5" s="28"/>
      <c r="G5" s="28"/>
      <c r="H5" s="28"/>
      <c r="I5" s="28"/>
    </row>
    <row r="7" spans="1:9" ht="30" x14ac:dyDescent="0.25">
      <c r="A7" s="3" t="s">
        <v>189</v>
      </c>
      <c r="B7" s="3" t="s">
        <v>190</v>
      </c>
      <c r="C7" s="3" t="s">
        <v>191</v>
      </c>
      <c r="D7" s="3" t="s">
        <v>192</v>
      </c>
      <c r="E7" s="3" t="s">
        <v>193</v>
      </c>
      <c r="F7" s="3" t="s">
        <v>194</v>
      </c>
      <c r="G7" s="3" t="s">
        <v>195</v>
      </c>
      <c r="H7" s="3" t="s">
        <v>196</v>
      </c>
    </row>
    <row r="8" spans="1:9" x14ac:dyDescent="0.25">
      <c r="A8" s="4" t="s">
        <v>197</v>
      </c>
      <c r="B8" s="5" t="s">
        <v>198</v>
      </c>
      <c r="C8" s="4" t="str">
        <f t="shared" ref="C8:C17" si="0">SUBSTITUTE(B8, "/", "-")</f>
        <v>INV-2026-PUN-045</v>
      </c>
      <c r="D8" s="4" t="str">
        <f t="shared" ref="D8:D17" si="1">IF(LEFT(C8,3)="INV", MID(C8,10,3), MID(C8,9,3))</f>
        <v>PUN</v>
      </c>
      <c r="E8" s="4" t="str">
        <f t="shared" ref="E8:E17" si="2">IF(LEFT(C8,3)="INV", MID(C8,5,4), "20"&amp;MID(C8,6,2))</f>
        <v>2026</v>
      </c>
      <c r="F8" s="4" t="str">
        <f t="shared" ref="F8:F17" si="3">RIGHT(C8, 3)</f>
        <v>045</v>
      </c>
      <c r="G8" s="17" t="str">
        <f t="shared" ref="G8:G17" si="4">"INV-" &amp; E8 &amp; "-" &amp; D8 &amp; "-" &amp; F8</f>
        <v>INV-2026-PUN-045</v>
      </c>
      <c r="H8" s="4" t="str">
        <f t="shared" ref="H8:H17" si="5">IF(LEN(G8)=16, "Standardized - Ready", "Audit Required")</f>
        <v>Standardized - Ready</v>
      </c>
    </row>
    <row r="9" spans="1:9" x14ac:dyDescent="0.25">
      <c r="A9" s="4" t="s">
        <v>199</v>
      </c>
      <c r="B9" s="5" t="s">
        <v>200</v>
      </c>
      <c r="C9" s="4" t="str">
        <f t="shared" si="0"/>
        <v>BILL-26-MUM-102</v>
      </c>
      <c r="D9" s="4" t="str">
        <f t="shared" si="1"/>
        <v>MUM</v>
      </c>
      <c r="E9" s="4" t="str">
        <f t="shared" si="2"/>
        <v>2026</v>
      </c>
      <c r="F9" s="4" t="str">
        <f t="shared" si="3"/>
        <v>102</v>
      </c>
      <c r="G9" s="17" t="str">
        <f t="shared" si="4"/>
        <v>INV-2026-MUM-102</v>
      </c>
      <c r="H9" s="4" t="str">
        <f t="shared" si="5"/>
        <v>Standardized - Ready</v>
      </c>
    </row>
    <row r="10" spans="1:9" x14ac:dyDescent="0.25">
      <c r="A10" s="4" t="s">
        <v>201</v>
      </c>
      <c r="B10" s="5" t="s">
        <v>202</v>
      </c>
      <c r="C10" s="4" t="str">
        <f t="shared" si="0"/>
        <v>INV-2026-DEL-089</v>
      </c>
      <c r="D10" s="4" t="str">
        <f t="shared" si="1"/>
        <v>DEL</v>
      </c>
      <c r="E10" s="4" t="str">
        <f t="shared" si="2"/>
        <v>2026</v>
      </c>
      <c r="F10" s="4" t="str">
        <f t="shared" si="3"/>
        <v>089</v>
      </c>
      <c r="G10" s="17" t="str">
        <f t="shared" si="4"/>
        <v>INV-2026-DEL-089</v>
      </c>
      <c r="H10" s="4" t="str">
        <f t="shared" si="5"/>
        <v>Standardized - Ready</v>
      </c>
    </row>
    <row r="11" spans="1:9" x14ac:dyDescent="0.25">
      <c r="A11" s="4" t="s">
        <v>203</v>
      </c>
      <c r="B11" s="5" t="s">
        <v>204</v>
      </c>
      <c r="C11" s="4" t="str">
        <f t="shared" si="0"/>
        <v>BILL-26-BLR-204</v>
      </c>
      <c r="D11" s="4" t="str">
        <f t="shared" si="1"/>
        <v>BLR</v>
      </c>
      <c r="E11" s="4" t="str">
        <f t="shared" si="2"/>
        <v>2026</v>
      </c>
      <c r="F11" s="4" t="str">
        <f t="shared" si="3"/>
        <v>204</v>
      </c>
      <c r="G11" s="17" t="str">
        <f t="shared" si="4"/>
        <v>INV-2026-BLR-204</v>
      </c>
      <c r="H11" s="4" t="str">
        <f t="shared" si="5"/>
        <v>Standardized - Ready</v>
      </c>
    </row>
    <row r="12" spans="1:9" x14ac:dyDescent="0.25">
      <c r="A12" s="4" t="s">
        <v>205</v>
      </c>
      <c r="B12" s="5" t="s">
        <v>206</v>
      </c>
      <c r="C12" s="4" t="str">
        <f t="shared" si="0"/>
        <v>INV-2026-HYD-311</v>
      </c>
      <c r="D12" s="4" t="str">
        <f t="shared" si="1"/>
        <v>HYD</v>
      </c>
      <c r="E12" s="4" t="str">
        <f t="shared" si="2"/>
        <v>2026</v>
      </c>
      <c r="F12" s="4" t="str">
        <f t="shared" si="3"/>
        <v>311</v>
      </c>
      <c r="G12" s="17" t="str">
        <f t="shared" si="4"/>
        <v>INV-2026-HYD-311</v>
      </c>
      <c r="H12" s="4" t="str">
        <f t="shared" si="5"/>
        <v>Standardized - Ready</v>
      </c>
    </row>
    <row r="13" spans="1:9" x14ac:dyDescent="0.25">
      <c r="A13" s="4" t="s">
        <v>207</v>
      </c>
      <c r="B13" s="5" t="s">
        <v>208</v>
      </c>
      <c r="C13" s="4" t="str">
        <f t="shared" si="0"/>
        <v>BILL-26-PUN-115</v>
      </c>
      <c r="D13" s="4" t="str">
        <f t="shared" si="1"/>
        <v>PUN</v>
      </c>
      <c r="E13" s="4" t="str">
        <f t="shared" si="2"/>
        <v>2026</v>
      </c>
      <c r="F13" s="4" t="str">
        <f t="shared" si="3"/>
        <v>115</v>
      </c>
      <c r="G13" s="17" t="str">
        <f t="shared" si="4"/>
        <v>INV-2026-PUN-115</v>
      </c>
      <c r="H13" s="4" t="str">
        <f t="shared" si="5"/>
        <v>Standardized - Ready</v>
      </c>
    </row>
    <row r="14" spans="1:9" x14ac:dyDescent="0.25">
      <c r="A14" s="4" t="s">
        <v>209</v>
      </c>
      <c r="B14" s="5" t="s">
        <v>210</v>
      </c>
      <c r="C14" s="4" t="str">
        <f t="shared" si="0"/>
        <v>INV-2026-CHN-402</v>
      </c>
      <c r="D14" s="4" t="str">
        <f t="shared" si="1"/>
        <v>CHN</v>
      </c>
      <c r="E14" s="4" t="str">
        <f t="shared" si="2"/>
        <v>2026</v>
      </c>
      <c r="F14" s="4" t="str">
        <f t="shared" si="3"/>
        <v>402</v>
      </c>
      <c r="G14" s="17" t="str">
        <f t="shared" si="4"/>
        <v>INV-2026-CHN-402</v>
      </c>
      <c r="H14" s="4" t="str">
        <f t="shared" si="5"/>
        <v>Standardized - Ready</v>
      </c>
    </row>
    <row r="15" spans="1:9" x14ac:dyDescent="0.25">
      <c r="A15" s="4" t="s">
        <v>211</v>
      </c>
      <c r="B15" s="5" t="s">
        <v>212</v>
      </c>
      <c r="C15" s="4" t="str">
        <f t="shared" si="0"/>
        <v>BILL-26-MUM-099</v>
      </c>
      <c r="D15" s="4" t="str">
        <f t="shared" si="1"/>
        <v>MUM</v>
      </c>
      <c r="E15" s="4" t="str">
        <f t="shared" si="2"/>
        <v>2026</v>
      </c>
      <c r="F15" s="4" t="str">
        <f t="shared" si="3"/>
        <v>099</v>
      </c>
      <c r="G15" s="17" t="str">
        <f t="shared" si="4"/>
        <v>INV-2026-MUM-099</v>
      </c>
      <c r="H15" s="4" t="str">
        <f t="shared" si="5"/>
        <v>Standardized - Ready</v>
      </c>
    </row>
    <row r="16" spans="1:9" x14ac:dyDescent="0.25">
      <c r="A16" s="4" t="s">
        <v>213</v>
      </c>
      <c r="B16" s="5" t="s">
        <v>214</v>
      </c>
      <c r="C16" s="4" t="str">
        <f t="shared" si="0"/>
        <v>INV-2026-KOL-512</v>
      </c>
      <c r="D16" s="4" t="str">
        <f t="shared" si="1"/>
        <v>KOL</v>
      </c>
      <c r="E16" s="4" t="str">
        <f t="shared" si="2"/>
        <v>2026</v>
      </c>
      <c r="F16" s="4" t="str">
        <f t="shared" si="3"/>
        <v>512</v>
      </c>
      <c r="G16" s="17" t="str">
        <f t="shared" si="4"/>
        <v>INV-2026-KOL-512</v>
      </c>
      <c r="H16" s="4" t="str">
        <f t="shared" si="5"/>
        <v>Standardized - Ready</v>
      </c>
    </row>
    <row r="17" spans="1:8" x14ac:dyDescent="0.25">
      <c r="A17" s="4" t="s">
        <v>215</v>
      </c>
      <c r="B17" s="5" t="s">
        <v>216</v>
      </c>
      <c r="C17" s="4" t="str">
        <f t="shared" si="0"/>
        <v>BILL-26-DEL-305</v>
      </c>
      <c r="D17" s="4" t="str">
        <f t="shared" si="1"/>
        <v>DEL</v>
      </c>
      <c r="E17" s="4" t="str">
        <f t="shared" si="2"/>
        <v>2026</v>
      </c>
      <c r="F17" s="4" t="str">
        <f t="shared" si="3"/>
        <v>305</v>
      </c>
      <c r="G17" s="17" t="str">
        <f t="shared" si="4"/>
        <v>INV-2026-DEL-305</v>
      </c>
      <c r="H17" s="4" t="str">
        <f t="shared" si="5"/>
        <v>Standardized - Ready</v>
      </c>
    </row>
  </sheetData>
  <mergeCells count="1">
    <mergeCell ref="A3:I5"/>
  </mergeCells>
  <conditionalFormatting sqref="H8:H17">
    <cfRule type="expression" dxfId="14" priority="1">
      <formula>$H8="Standardized - Ready"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26" customWidth="1"/>
    <col min="3" max="3" width="20" customWidth="1"/>
    <col min="4" max="5" width="15" customWidth="1"/>
    <col min="6" max="6" width="18" customWidth="1"/>
    <col min="7" max="7" width="16" customWidth="1"/>
    <col min="8" max="10" width="24" customWidth="1"/>
  </cols>
  <sheetData>
    <row r="1" spans="1:10" ht="19.5" x14ac:dyDescent="0.3">
      <c r="A1" s="1" t="s">
        <v>442</v>
      </c>
    </row>
    <row r="3" spans="1:10" x14ac:dyDescent="0.25">
      <c r="A3" s="27" t="s">
        <v>217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30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0" x14ac:dyDescent="0.25">
      <c r="H6" s="18" t="s">
        <v>218</v>
      </c>
      <c r="I6" s="19">
        <v>46232</v>
      </c>
    </row>
    <row r="7" spans="1:10" ht="30" x14ac:dyDescent="0.25">
      <c r="A7" s="3" t="s">
        <v>219</v>
      </c>
      <c r="B7" s="3" t="s">
        <v>220</v>
      </c>
      <c r="C7" s="3" t="s">
        <v>221</v>
      </c>
      <c r="D7" s="3" t="s">
        <v>222</v>
      </c>
      <c r="E7" s="3" t="s">
        <v>223</v>
      </c>
      <c r="F7" s="3" t="s">
        <v>224</v>
      </c>
      <c r="G7" s="3" t="s">
        <v>225</v>
      </c>
      <c r="H7" s="3" t="s">
        <v>226</v>
      </c>
      <c r="I7" s="3" t="s">
        <v>227</v>
      </c>
      <c r="J7" s="3" t="s">
        <v>228</v>
      </c>
    </row>
    <row r="8" spans="1:10" x14ac:dyDescent="0.25">
      <c r="A8" s="4" t="s">
        <v>229</v>
      </c>
      <c r="B8" s="5" t="s">
        <v>230</v>
      </c>
      <c r="C8" s="5" t="s">
        <v>10</v>
      </c>
      <c r="D8" s="20">
        <v>46143</v>
      </c>
      <c r="E8" s="20">
        <v>46236</v>
      </c>
      <c r="F8" s="7">
        <f t="shared" ref="F8:F17" si="0">DATEDIF(D8, $I$6, "d")</f>
        <v>89</v>
      </c>
      <c r="G8" s="7">
        <f t="shared" ref="G8:G17" si="1">E8-$I$6</f>
        <v>4</v>
      </c>
      <c r="H8" s="20">
        <f t="shared" ref="H8:H17" si="2">EOMONTH(E8, 0)</f>
        <v>46265</v>
      </c>
      <c r="I8" s="4" t="str">
        <f t="shared" ref="I8:I17" si="3">IF(AND(G8&gt;=0, G8&lt;=7), "IMMINENT DEADLINE (&lt;7d)", IF(G8&lt;0, "Overdue", "On Schedule"))</f>
        <v>IMMINENT DEADLINE (&lt;7d)</v>
      </c>
      <c r="J8" s="4" t="str">
        <f t="shared" ref="J8:J17" si="4">IF(I8="IMMINENT DEADLINE (&lt;7d)", "Daily Standup Review", "Normal Cadence")</f>
        <v>Daily Standup Review</v>
      </c>
    </row>
    <row r="9" spans="1:10" x14ac:dyDescent="0.25">
      <c r="A9" s="4" t="s">
        <v>231</v>
      </c>
      <c r="B9" s="5" t="s">
        <v>232</v>
      </c>
      <c r="C9" s="5" t="s">
        <v>13</v>
      </c>
      <c r="D9" s="20">
        <v>46188</v>
      </c>
      <c r="E9" s="20">
        <v>46238</v>
      </c>
      <c r="F9" s="7">
        <f t="shared" si="0"/>
        <v>44</v>
      </c>
      <c r="G9" s="7">
        <f t="shared" si="1"/>
        <v>6</v>
      </c>
      <c r="H9" s="20">
        <f t="shared" si="2"/>
        <v>46265</v>
      </c>
      <c r="I9" s="4" t="str">
        <f t="shared" si="3"/>
        <v>IMMINENT DEADLINE (&lt;7d)</v>
      </c>
      <c r="J9" s="4" t="str">
        <f t="shared" si="4"/>
        <v>Daily Standup Review</v>
      </c>
    </row>
    <row r="10" spans="1:10" x14ac:dyDescent="0.25">
      <c r="A10" s="4" t="s">
        <v>233</v>
      </c>
      <c r="B10" s="5" t="s">
        <v>234</v>
      </c>
      <c r="C10" s="5" t="s">
        <v>15</v>
      </c>
      <c r="D10" s="20">
        <v>46174</v>
      </c>
      <c r="E10" s="20">
        <v>46264</v>
      </c>
      <c r="F10" s="7">
        <f t="shared" si="0"/>
        <v>58</v>
      </c>
      <c r="G10" s="7">
        <f t="shared" si="1"/>
        <v>32</v>
      </c>
      <c r="H10" s="20">
        <f t="shared" si="2"/>
        <v>46265</v>
      </c>
      <c r="I10" s="4" t="str">
        <f t="shared" si="3"/>
        <v>On Schedule</v>
      </c>
      <c r="J10" s="4" t="str">
        <f t="shared" si="4"/>
        <v>Normal Cadence</v>
      </c>
    </row>
    <row r="11" spans="1:10" x14ac:dyDescent="0.25">
      <c r="A11" s="4" t="s">
        <v>235</v>
      </c>
      <c r="B11" s="5" t="s">
        <v>236</v>
      </c>
      <c r="C11" s="5" t="s">
        <v>18</v>
      </c>
      <c r="D11" s="20">
        <v>46122</v>
      </c>
      <c r="E11" s="20">
        <v>46234</v>
      </c>
      <c r="F11" s="7">
        <f t="shared" si="0"/>
        <v>110</v>
      </c>
      <c r="G11" s="7">
        <f t="shared" si="1"/>
        <v>2</v>
      </c>
      <c r="H11" s="20">
        <f t="shared" si="2"/>
        <v>46234</v>
      </c>
      <c r="I11" s="4" t="str">
        <f t="shared" si="3"/>
        <v>IMMINENT DEADLINE (&lt;7d)</v>
      </c>
      <c r="J11" s="4" t="str">
        <f t="shared" si="4"/>
        <v>Daily Standup Review</v>
      </c>
    </row>
    <row r="12" spans="1:10" x14ac:dyDescent="0.25">
      <c r="A12" s="4" t="s">
        <v>237</v>
      </c>
      <c r="B12" s="5" t="s">
        <v>238</v>
      </c>
      <c r="C12" s="5" t="s">
        <v>20</v>
      </c>
      <c r="D12" s="20">
        <v>46204</v>
      </c>
      <c r="E12" s="20">
        <v>46280</v>
      </c>
      <c r="F12" s="7">
        <f t="shared" si="0"/>
        <v>28</v>
      </c>
      <c r="G12" s="7">
        <f t="shared" si="1"/>
        <v>48</v>
      </c>
      <c r="H12" s="20">
        <f t="shared" si="2"/>
        <v>46295</v>
      </c>
      <c r="I12" s="4" t="str">
        <f t="shared" si="3"/>
        <v>On Schedule</v>
      </c>
      <c r="J12" s="4" t="str">
        <f t="shared" si="4"/>
        <v>Normal Cadence</v>
      </c>
    </row>
    <row r="13" spans="1:10" x14ac:dyDescent="0.25">
      <c r="A13" s="4" t="s">
        <v>239</v>
      </c>
      <c r="B13" s="5" t="s">
        <v>240</v>
      </c>
      <c r="C13" s="5" t="s">
        <v>22</v>
      </c>
      <c r="D13" s="20">
        <v>46162</v>
      </c>
      <c r="E13" s="20">
        <v>46239</v>
      </c>
      <c r="F13" s="7">
        <f t="shared" si="0"/>
        <v>70</v>
      </c>
      <c r="G13" s="7">
        <f t="shared" si="1"/>
        <v>7</v>
      </c>
      <c r="H13" s="20">
        <f t="shared" si="2"/>
        <v>46265</v>
      </c>
      <c r="I13" s="4" t="str">
        <f t="shared" si="3"/>
        <v>IMMINENT DEADLINE (&lt;7d)</v>
      </c>
      <c r="J13" s="4" t="str">
        <f t="shared" si="4"/>
        <v>Daily Standup Review</v>
      </c>
    </row>
    <row r="14" spans="1:10" x14ac:dyDescent="0.25">
      <c r="A14" s="4" t="s">
        <v>241</v>
      </c>
      <c r="B14" s="5" t="s">
        <v>242</v>
      </c>
      <c r="C14" s="5" t="s">
        <v>24</v>
      </c>
      <c r="D14" s="20">
        <v>46213</v>
      </c>
      <c r="E14" s="20">
        <v>46259</v>
      </c>
      <c r="F14" s="7">
        <f t="shared" si="0"/>
        <v>19</v>
      </c>
      <c r="G14" s="7">
        <f t="shared" si="1"/>
        <v>27</v>
      </c>
      <c r="H14" s="20">
        <f t="shared" si="2"/>
        <v>46265</v>
      </c>
      <c r="I14" s="4" t="str">
        <f t="shared" si="3"/>
        <v>On Schedule</v>
      </c>
      <c r="J14" s="4" t="str">
        <f t="shared" si="4"/>
        <v>Normal Cadence</v>
      </c>
    </row>
    <row r="15" spans="1:10" x14ac:dyDescent="0.25">
      <c r="A15" s="4" t="s">
        <v>243</v>
      </c>
      <c r="B15" s="5" t="s">
        <v>244</v>
      </c>
      <c r="C15" s="5" t="s">
        <v>27</v>
      </c>
      <c r="D15" s="20">
        <v>46183</v>
      </c>
      <c r="E15" s="20">
        <v>46235</v>
      </c>
      <c r="F15" s="7">
        <f t="shared" si="0"/>
        <v>49</v>
      </c>
      <c r="G15" s="7">
        <f t="shared" si="1"/>
        <v>3</v>
      </c>
      <c r="H15" s="20">
        <f t="shared" si="2"/>
        <v>46265</v>
      </c>
      <c r="I15" s="4" t="str">
        <f t="shared" si="3"/>
        <v>IMMINENT DEADLINE (&lt;7d)</v>
      </c>
      <c r="J15" s="4" t="str">
        <f t="shared" si="4"/>
        <v>Daily Standup Review</v>
      </c>
    </row>
    <row r="16" spans="1:10" x14ac:dyDescent="0.25">
      <c r="A16" s="4" t="s">
        <v>245</v>
      </c>
      <c r="B16" s="5" t="s">
        <v>246</v>
      </c>
      <c r="C16" s="5" t="s">
        <v>29</v>
      </c>
      <c r="D16" s="20">
        <v>46157</v>
      </c>
      <c r="E16" s="20">
        <v>46295</v>
      </c>
      <c r="F16" s="7">
        <f t="shared" si="0"/>
        <v>75</v>
      </c>
      <c r="G16" s="7">
        <f t="shared" si="1"/>
        <v>63</v>
      </c>
      <c r="H16" s="20">
        <f t="shared" si="2"/>
        <v>46295</v>
      </c>
      <c r="I16" s="4" t="str">
        <f t="shared" si="3"/>
        <v>On Schedule</v>
      </c>
      <c r="J16" s="4" t="str">
        <f t="shared" si="4"/>
        <v>Normal Cadence</v>
      </c>
    </row>
    <row r="17" spans="1:10" x14ac:dyDescent="0.25">
      <c r="A17" s="4" t="s">
        <v>247</v>
      </c>
      <c r="B17" s="5" t="s">
        <v>248</v>
      </c>
      <c r="C17" s="5" t="s">
        <v>31</v>
      </c>
      <c r="D17" s="20">
        <v>46208</v>
      </c>
      <c r="E17" s="20">
        <v>46252</v>
      </c>
      <c r="F17" s="7">
        <f t="shared" si="0"/>
        <v>24</v>
      </c>
      <c r="G17" s="7">
        <f t="shared" si="1"/>
        <v>20</v>
      </c>
      <c r="H17" s="20">
        <f t="shared" si="2"/>
        <v>46265</v>
      </c>
      <c r="I17" s="4" t="str">
        <f t="shared" si="3"/>
        <v>On Schedule</v>
      </c>
      <c r="J17" s="4" t="str">
        <f t="shared" si="4"/>
        <v>Normal Cadence</v>
      </c>
    </row>
  </sheetData>
  <mergeCells count="1">
    <mergeCell ref="A3:J5"/>
  </mergeCells>
  <conditionalFormatting sqref="I8:I17">
    <cfRule type="expression" dxfId="13" priority="1">
      <formula>$I8="IMMINENT DEADLINE (&lt;7d)"</formula>
    </cfRule>
    <cfRule type="expression" dxfId="12" priority="2">
      <formula>$I8="On Schedule"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7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22" customWidth="1"/>
    <col min="3" max="3" width="16" customWidth="1"/>
    <col min="4" max="4" width="15" customWidth="1"/>
    <col min="5" max="6" width="16" customWidth="1"/>
    <col min="7" max="7" width="24" customWidth="1"/>
    <col min="8" max="8" width="26" customWidth="1"/>
    <col min="9" max="9" width="24" customWidth="1"/>
    <col min="10" max="10" width="12" customWidth="1"/>
  </cols>
  <sheetData>
    <row r="1" spans="1:10" ht="19.5" x14ac:dyDescent="0.3">
      <c r="A1" s="1" t="s">
        <v>441</v>
      </c>
    </row>
    <row r="3" spans="1:10" x14ac:dyDescent="0.25">
      <c r="A3" s="27" t="s">
        <v>249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29.2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0" x14ac:dyDescent="0.25">
      <c r="G6" s="18" t="s">
        <v>218</v>
      </c>
      <c r="H6" s="19">
        <v>46232</v>
      </c>
    </row>
    <row r="7" spans="1:10" ht="30" x14ac:dyDescent="0.25">
      <c r="A7" s="3" t="s">
        <v>1</v>
      </c>
      <c r="B7" s="3" t="s">
        <v>2</v>
      </c>
      <c r="C7" s="3" t="s">
        <v>250</v>
      </c>
      <c r="D7" s="3" t="s">
        <v>251</v>
      </c>
      <c r="E7" s="3" t="s">
        <v>252</v>
      </c>
      <c r="F7" s="3" t="s">
        <v>253</v>
      </c>
      <c r="G7" s="3" t="s">
        <v>254</v>
      </c>
      <c r="H7" s="3" t="s">
        <v>255</v>
      </c>
      <c r="I7" s="3" t="s">
        <v>256</v>
      </c>
    </row>
    <row r="8" spans="1:10" x14ac:dyDescent="0.25">
      <c r="A8" s="4" t="s">
        <v>257</v>
      </c>
      <c r="B8" s="5" t="s">
        <v>10</v>
      </c>
      <c r="C8" s="5" t="s">
        <v>258</v>
      </c>
      <c r="D8" s="20">
        <v>40648</v>
      </c>
      <c r="E8" s="4">
        <f t="shared" ref="E8:E17" si="0">DATEDIF(D8, $H$6, "y")</f>
        <v>15</v>
      </c>
      <c r="F8" s="4">
        <f t="shared" ref="F8:F17" si="1">DATEDIF(D8, $H$6, "ym")</f>
        <v>3</v>
      </c>
      <c r="G8" s="4" t="str">
        <f t="shared" ref="G8:G17" si="2">E8 &amp; " Years, " &amp; F8 &amp; " Months"</f>
        <v>15 Years, 3 Months</v>
      </c>
      <c r="H8" s="4" t="str">
        <f t="shared" ref="H8:H17" si="3">IF(OR(E8=5, E8=10, E8=15), E8&amp;"-Year Milestone Award!", "Standard Service")</f>
        <v>15-Year Milestone Award!</v>
      </c>
      <c r="I8" s="4" t="str">
        <f t="shared" ref="I8:I17" si="4">IF(E8&gt;=5, "Eligible for Gratuity", "Ineligible (&lt;5 Yrs)")</f>
        <v>Eligible for Gratuity</v>
      </c>
    </row>
    <row r="9" spans="1:10" x14ac:dyDescent="0.25">
      <c r="A9" s="4" t="s">
        <v>259</v>
      </c>
      <c r="B9" s="5" t="s">
        <v>13</v>
      </c>
      <c r="C9" s="5" t="s">
        <v>260</v>
      </c>
      <c r="D9" s="20">
        <v>42561</v>
      </c>
      <c r="E9" s="4">
        <f t="shared" si="0"/>
        <v>10</v>
      </c>
      <c r="F9" s="4">
        <f t="shared" si="1"/>
        <v>0</v>
      </c>
      <c r="G9" s="4" t="str">
        <f t="shared" si="2"/>
        <v>10 Years, 0 Months</v>
      </c>
      <c r="H9" s="4" t="str">
        <f t="shared" si="3"/>
        <v>10-Year Milestone Award!</v>
      </c>
      <c r="I9" s="4" t="str">
        <f t="shared" si="4"/>
        <v>Eligible for Gratuity</v>
      </c>
    </row>
    <row r="10" spans="1:10" x14ac:dyDescent="0.25">
      <c r="A10" s="4" t="s">
        <v>261</v>
      </c>
      <c r="B10" s="5" t="s">
        <v>15</v>
      </c>
      <c r="C10" s="5" t="s">
        <v>262</v>
      </c>
      <c r="D10" s="20">
        <v>44348</v>
      </c>
      <c r="E10" s="4">
        <f t="shared" si="0"/>
        <v>5</v>
      </c>
      <c r="F10" s="4">
        <f t="shared" si="1"/>
        <v>1</v>
      </c>
      <c r="G10" s="4" t="str">
        <f t="shared" si="2"/>
        <v>5 Years, 1 Months</v>
      </c>
      <c r="H10" s="4" t="str">
        <f t="shared" si="3"/>
        <v>5-Year Milestone Award!</v>
      </c>
      <c r="I10" s="4" t="str">
        <f t="shared" si="4"/>
        <v>Eligible for Gratuity</v>
      </c>
    </row>
    <row r="11" spans="1:10" x14ac:dyDescent="0.25">
      <c r="A11" s="4" t="s">
        <v>263</v>
      </c>
      <c r="B11" s="5" t="s">
        <v>18</v>
      </c>
      <c r="C11" s="5" t="s">
        <v>264</v>
      </c>
      <c r="D11" s="20">
        <v>43697</v>
      </c>
      <c r="E11" s="4">
        <f t="shared" si="0"/>
        <v>6</v>
      </c>
      <c r="F11" s="4">
        <f t="shared" si="1"/>
        <v>11</v>
      </c>
      <c r="G11" s="4" t="str">
        <f t="shared" si="2"/>
        <v>6 Years, 11 Months</v>
      </c>
      <c r="H11" s="4" t="str">
        <f t="shared" si="3"/>
        <v>Standard Service</v>
      </c>
      <c r="I11" s="4" t="str">
        <f t="shared" si="4"/>
        <v>Eligible for Gratuity</v>
      </c>
    </row>
    <row r="12" spans="1:10" x14ac:dyDescent="0.25">
      <c r="A12" s="4" t="s">
        <v>265</v>
      </c>
      <c r="B12" s="5" t="s">
        <v>20</v>
      </c>
      <c r="C12" s="5" t="s">
        <v>266</v>
      </c>
      <c r="D12" s="20">
        <v>40725</v>
      </c>
      <c r="E12" s="4">
        <f t="shared" si="0"/>
        <v>15</v>
      </c>
      <c r="F12" s="4">
        <f t="shared" si="1"/>
        <v>0</v>
      </c>
      <c r="G12" s="4" t="str">
        <f t="shared" si="2"/>
        <v>15 Years, 0 Months</v>
      </c>
      <c r="H12" s="4" t="str">
        <f t="shared" si="3"/>
        <v>15-Year Milestone Award!</v>
      </c>
      <c r="I12" s="4" t="str">
        <f t="shared" si="4"/>
        <v>Eligible for Gratuity</v>
      </c>
    </row>
    <row r="13" spans="1:10" x14ac:dyDescent="0.25">
      <c r="A13" s="4" t="s">
        <v>267</v>
      </c>
      <c r="B13" s="5" t="s">
        <v>22</v>
      </c>
      <c r="C13" s="5" t="s">
        <v>258</v>
      </c>
      <c r="D13" s="20">
        <v>43171</v>
      </c>
      <c r="E13" s="4">
        <f t="shared" si="0"/>
        <v>8</v>
      </c>
      <c r="F13" s="4">
        <f t="shared" si="1"/>
        <v>4</v>
      </c>
      <c r="G13" s="4" t="str">
        <f t="shared" si="2"/>
        <v>8 Years, 4 Months</v>
      </c>
      <c r="H13" s="4" t="str">
        <f t="shared" si="3"/>
        <v>Standard Service</v>
      </c>
      <c r="I13" s="4" t="str">
        <f t="shared" si="4"/>
        <v>Eligible for Gratuity</v>
      </c>
    </row>
    <row r="14" spans="1:10" x14ac:dyDescent="0.25">
      <c r="A14" s="4" t="s">
        <v>268</v>
      </c>
      <c r="B14" s="5" t="s">
        <v>24</v>
      </c>
      <c r="C14" s="5" t="s">
        <v>262</v>
      </c>
      <c r="D14" s="20">
        <v>44941</v>
      </c>
      <c r="E14" s="4">
        <f t="shared" si="0"/>
        <v>3</v>
      </c>
      <c r="F14" s="4">
        <f t="shared" si="1"/>
        <v>6</v>
      </c>
      <c r="G14" s="4" t="str">
        <f t="shared" si="2"/>
        <v>3 Years, 6 Months</v>
      </c>
      <c r="H14" s="4" t="str">
        <f t="shared" si="3"/>
        <v>Standard Service</v>
      </c>
      <c r="I14" s="4" t="str">
        <f t="shared" si="4"/>
        <v>Ineligible (&lt;5 Yrs)</v>
      </c>
    </row>
    <row r="15" spans="1:10" x14ac:dyDescent="0.25">
      <c r="A15" s="4" t="s">
        <v>269</v>
      </c>
      <c r="B15" s="5" t="s">
        <v>27</v>
      </c>
      <c r="C15" s="5" t="s">
        <v>260</v>
      </c>
      <c r="D15" s="20">
        <v>42515</v>
      </c>
      <c r="E15" s="4">
        <f t="shared" si="0"/>
        <v>10</v>
      </c>
      <c r="F15" s="4">
        <f t="shared" si="1"/>
        <v>2</v>
      </c>
      <c r="G15" s="4" t="str">
        <f t="shared" si="2"/>
        <v>10 Years, 2 Months</v>
      </c>
      <c r="H15" s="4" t="str">
        <f t="shared" si="3"/>
        <v>10-Year Milestone Award!</v>
      </c>
      <c r="I15" s="4" t="str">
        <f t="shared" si="4"/>
        <v>Eligible for Gratuity</v>
      </c>
    </row>
    <row r="16" spans="1:10" x14ac:dyDescent="0.25">
      <c r="A16" s="4" t="s">
        <v>270</v>
      </c>
      <c r="B16" s="5" t="s">
        <v>29</v>
      </c>
      <c r="C16" s="5" t="s">
        <v>266</v>
      </c>
      <c r="D16" s="20">
        <v>45332</v>
      </c>
      <c r="E16" s="4">
        <f t="shared" si="0"/>
        <v>2</v>
      </c>
      <c r="F16" s="4">
        <f t="shared" si="1"/>
        <v>5</v>
      </c>
      <c r="G16" s="4" t="str">
        <f t="shared" si="2"/>
        <v>2 Years, 5 Months</v>
      </c>
      <c r="H16" s="4" t="str">
        <f t="shared" si="3"/>
        <v>Standard Service</v>
      </c>
      <c r="I16" s="4" t="str">
        <f t="shared" si="4"/>
        <v>Ineligible (&lt;5 Yrs)</v>
      </c>
    </row>
    <row r="17" spans="1:9" x14ac:dyDescent="0.25">
      <c r="A17" s="4" t="s">
        <v>271</v>
      </c>
      <c r="B17" s="5" t="s">
        <v>31</v>
      </c>
      <c r="C17" s="5" t="s">
        <v>264</v>
      </c>
      <c r="D17" s="20">
        <v>44382</v>
      </c>
      <c r="E17" s="4">
        <f t="shared" si="0"/>
        <v>5</v>
      </c>
      <c r="F17" s="4">
        <f t="shared" si="1"/>
        <v>0</v>
      </c>
      <c r="G17" s="4" t="str">
        <f t="shared" si="2"/>
        <v>5 Years, 0 Months</v>
      </c>
      <c r="H17" s="4" t="str">
        <f t="shared" si="3"/>
        <v>5-Year Milestone Award!</v>
      </c>
      <c r="I17" s="4" t="str">
        <f t="shared" si="4"/>
        <v>Eligible for Gratuity</v>
      </c>
    </row>
  </sheetData>
  <mergeCells count="1">
    <mergeCell ref="A3:J5"/>
  </mergeCells>
  <conditionalFormatting sqref="H8:H17">
    <cfRule type="expression" dxfId="11" priority="1">
      <formula>ISNUMBER(SEARCH("Milestone", $H8))</formula>
    </cfRule>
  </conditionalFormatting>
  <conditionalFormatting sqref="I8:I17">
    <cfRule type="expression" dxfId="10" priority="2">
      <formula>$I8="Eligible for Gratuity"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3"/>
  <sheetViews>
    <sheetView workbookViewId="0">
      <selection activeCell="A2" sqref="A2"/>
    </sheetView>
  </sheetViews>
  <sheetFormatPr defaultRowHeight="15" x14ac:dyDescent="0.25"/>
  <cols>
    <col min="1" max="1" width="18" customWidth="1"/>
    <col min="2" max="2" width="24" customWidth="1"/>
    <col min="3" max="3" width="28" customWidth="1"/>
    <col min="4" max="4" width="20" customWidth="1"/>
    <col min="5" max="5" width="30" customWidth="1"/>
    <col min="6" max="9" width="12" customWidth="1"/>
  </cols>
  <sheetData>
    <row r="1" spans="1:9" ht="19.5" x14ac:dyDescent="0.3">
      <c r="A1" s="1" t="s">
        <v>440</v>
      </c>
    </row>
    <row r="3" spans="1:9" x14ac:dyDescent="0.25">
      <c r="A3" s="27" t="s">
        <v>272</v>
      </c>
      <c r="B3" s="28"/>
      <c r="C3" s="28"/>
      <c r="D3" s="28"/>
      <c r="E3" s="28"/>
      <c r="F3" s="28"/>
      <c r="G3" s="28"/>
      <c r="H3" s="28"/>
      <c r="I3" s="28"/>
    </row>
    <row r="4" spans="1:9" x14ac:dyDescent="0.25">
      <c r="A4" s="28"/>
      <c r="B4" s="28"/>
      <c r="C4" s="28"/>
      <c r="D4" s="28"/>
      <c r="E4" s="28"/>
      <c r="F4" s="28"/>
      <c r="G4" s="28"/>
      <c r="H4" s="28"/>
      <c r="I4" s="28"/>
    </row>
    <row r="5" spans="1:9" ht="27.75" customHeight="1" x14ac:dyDescent="0.25">
      <c r="A5" s="28"/>
      <c r="B5" s="28"/>
      <c r="C5" s="28"/>
      <c r="D5" s="28"/>
      <c r="E5" s="28"/>
      <c r="F5" s="28"/>
      <c r="G5" s="28"/>
      <c r="H5" s="28"/>
      <c r="I5" s="28"/>
    </row>
    <row r="7" spans="1:9" x14ac:dyDescent="0.25">
      <c r="A7" s="29" t="s">
        <v>273</v>
      </c>
      <c r="B7" s="30"/>
      <c r="C7" s="30"/>
      <c r="D7" s="30"/>
      <c r="E7" s="30"/>
    </row>
    <row r="8" spans="1:9" x14ac:dyDescent="0.25">
      <c r="A8" s="12" t="s">
        <v>274</v>
      </c>
      <c r="C8" s="13" t="s">
        <v>275</v>
      </c>
    </row>
    <row r="9" spans="1:9" x14ac:dyDescent="0.25">
      <c r="A9" s="12" t="s">
        <v>276</v>
      </c>
      <c r="C9" s="14" t="str">
        <f>IFERROR(VLOOKUP(C8, A14:E23, 2, FALSE), "⚠️ Roll Number Not Found")</f>
        <v>⚠️ Roll Number Not Found</v>
      </c>
    </row>
    <row r="10" spans="1:9" x14ac:dyDescent="0.25">
      <c r="A10" s="12" t="s">
        <v>277</v>
      </c>
      <c r="C10" s="14" t="str">
        <f>IFERROR(VLOOKUP(C8, A14:E23, 3, FALSE), "N/A")</f>
        <v>N/A</v>
      </c>
    </row>
    <row r="11" spans="1:9" x14ac:dyDescent="0.25">
      <c r="A11" s="12" t="s">
        <v>278</v>
      </c>
      <c r="C11" s="14" t="str">
        <f>IFERROR(VLOOKUP(C8, A14:E23, 4, FALSE), "N/A")</f>
        <v>N/A</v>
      </c>
    </row>
    <row r="12" spans="1:9" x14ac:dyDescent="0.25">
      <c r="A12" s="12" t="s">
        <v>279</v>
      </c>
      <c r="C12" s="14" t="str">
        <f>IFERROR(VLOOKUP(C8, A14:E23, 5, FALSE), "N/A")</f>
        <v>N/A</v>
      </c>
    </row>
    <row r="13" spans="1:9" x14ac:dyDescent="0.25">
      <c r="A13" s="3" t="s">
        <v>280</v>
      </c>
      <c r="B13" s="3" t="s">
        <v>34</v>
      </c>
      <c r="C13" s="3" t="s">
        <v>281</v>
      </c>
      <c r="D13" s="3" t="s">
        <v>282</v>
      </c>
      <c r="E13" s="3" t="s">
        <v>283</v>
      </c>
    </row>
    <row r="14" spans="1:9" x14ac:dyDescent="0.25">
      <c r="A14" s="4" t="s">
        <v>284</v>
      </c>
      <c r="B14" s="5" t="s">
        <v>10</v>
      </c>
      <c r="C14" s="5" t="s">
        <v>285</v>
      </c>
      <c r="D14" s="4" t="s">
        <v>286</v>
      </c>
      <c r="E14" s="5" t="s">
        <v>164</v>
      </c>
    </row>
    <row r="15" spans="1:9" x14ac:dyDescent="0.25">
      <c r="A15" s="4" t="s">
        <v>287</v>
      </c>
      <c r="B15" s="5" t="s">
        <v>13</v>
      </c>
      <c r="C15" s="5" t="s">
        <v>285</v>
      </c>
      <c r="D15" s="4" t="s">
        <v>288</v>
      </c>
      <c r="E15" s="5" t="s">
        <v>289</v>
      </c>
    </row>
    <row r="16" spans="1:9" x14ac:dyDescent="0.25">
      <c r="A16" s="4" t="s">
        <v>290</v>
      </c>
      <c r="B16" s="5" t="s">
        <v>15</v>
      </c>
      <c r="C16" s="5" t="s">
        <v>285</v>
      </c>
      <c r="D16" s="4" t="s">
        <v>291</v>
      </c>
      <c r="E16" s="5" t="s">
        <v>292</v>
      </c>
    </row>
    <row r="17" spans="1:5" x14ac:dyDescent="0.25">
      <c r="A17" s="4" t="s">
        <v>293</v>
      </c>
      <c r="B17" s="5" t="s">
        <v>18</v>
      </c>
      <c r="C17" s="5" t="s">
        <v>285</v>
      </c>
      <c r="D17" s="4" t="s">
        <v>294</v>
      </c>
      <c r="E17" s="5" t="s">
        <v>173</v>
      </c>
    </row>
    <row r="18" spans="1:5" x14ac:dyDescent="0.25">
      <c r="A18" s="4" t="s">
        <v>295</v>
      </c>
      <c r="B18" s="5" t="s">
        <v>20</v>
      </c>
      <c r="C18" s="5" t="s">
        <v>285</v>
      </c>
      <c r="D18" s="4" t="s">
        <v>296</v>
      </c>
      <c r="E18" s="5" t="s">
        <v>297</v>
      </c>
    </row>
    <row r="19" spans="1:5" x14ac:dyDescent="0.25">
      <c r="A19" s="4" t="s">
        <v>298</v>
      </c>
      <c r="B19" s="5" t="s">
        <v>22</v>
      </c>
      <c r="C19" s="5" t="s">
        <v>285</v>
      </c>
      <c r="D19" s="4" t="s">
        <v>299</v>
      </c>
      <c r="E19" s="5" t="s">
        <v>300</v>
      </c>
    </row>
    <row r="20" spans="1:5" x14ac:dyDescent="0.25">
      <c r="A20" s="4" t="s">
        <v>301</v>
      </c>
      <c r="B20" s="5" t="s">
        <v>24</v>
      </c>
      <c r="C20" s="5" t="s">
        <v>285</v>
      </c>
      <c r="D20" s="4" t="s">
        <v>302</v>
      </c>
      <c r="E20" s="5" t="s">
        <v>303</v>
      </c>
    </row>
    <row r="21" spans="1:5" x14ac:dyDescent="0.25">
      <c r="A21" s="4" t="s">
        <v>304</v>
      </c>
      <c r="B21" s="5" t="s">
        <v>27</v>
      </c>
      <c r="C21" s="5" t="s">
        <v>285</v>
      </c>
      <c r="D21" s="4" t="s">
        <v>305</v>
      </c>
      <c r="E21" s="5" t="s">
        <v>183</v>
      </c>
    </row>
    <row r="22" spans="1:5" x14ac:dyDescent="0.25">
      <c r="A22" s="4" t="s">
        <v>306</v>
      </c>
      <c r="B22" s="5" t="s">
        <v>29</v>
      </c>
      <c r="C22" s="5" t="s">
        <v>285</v>
      </c>
      <c r="D22" s="4" t="s">
        <v>307</v>
      </c>
      <c r="E22" s="5" t="s">
        <v>308</v>
      </c>
    </row>
    <row r="23" spans="1:5" x14ac:dyDescent="0.25">
      <c r="A23" s="4" t="s">
        <v>309</v>
      </c>
      <c r="B23" s="5" t="s">
        <v>31</v>
      </c>
      <c r="C23" s="5" t="s">
        <v>285</v>
      </c>
      <c r="D23" s="4" t="s">
        <v>310</v>
      </c>
      <c r="E23" s="5" t="s">
        <v>311</v>
      </c>
    </row>
  </sheetData>
  <mergeCells count="2">
    <mergeCell ref="A3:I5"/>
    <mergeCell ref="A7:E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3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24" customWidth="1"/>
    <col min="3" max="3" width="18" customWidth="1"/>
    <col min="4" max="4" width="24" customWidth="1"/>
    <col min="5" max="5" width="22" customWidth="1"/>
    <col min="6" max="6" width="26" customWidth="1"/>
    <col min="7" max="8" width="12" customWidth="1"/>
  </cols>
  <sheetData>
    <row r="1" spans="1:8" ht="19.5" x14ac:dyDescent="0.3">
      <c r="A1" s="1" t="s">
        <v>439</v>
      </c>
    </row>
    <row r="3" spans="1:8" x14ac:dyDescent="0.25">
      <c r="A3" s="27" t="s">
        <v>312</v>
      </c>
      <c r="B3" s="28"/>
      <c r="C3" s="28"/>
      <c r="D3" s="28"/>
      <c r="E3" s="28"/>
      <c r="F3" s="28"/>
      <c r="G3" s="28"/>
      <c r="H3" s="28"/>
    </row>
    <row r="4" spans="1:8" x14ac:dyDescent="0.25">
      <c r="A4" s="28"/>
      <c r="B4" s="28"/>
      <c r="C4" s="28"/>
      <c r="D4" s="28"/>
      <c r="E4" s="28"/>
      <c r="F4" s="28"/>
      <c r="G4" s="28"/>
      <c r="H4" s="28"/>
    </row>
    <row r="5" spans="1:8" ht="33.75" customHeight="1" x14ac:dyDescent="0.25">
      <c r="A5" s="28"/>
      <c r="B5" s="28"/>
      <c r="C5" s="28"/>
      <c r="D5" s="28"/>
      <c r="E5" s="28"/>
      <c r="F5" s="28"/>
      <c r="G5" s="28"/>
      <c r="H5" s="28"/>
    </row>
    <row r="7" spans="1:8" x14ac:dyDescent="0.25">
      <c r="A7" s="29" t="s">
        <v>313</v>
      </c>
      <c r="B7" s="30"/>
      <c r="C7" s="30"/>
      <c r="D7" s="30"/>
      <c r="E7" s="30"/>
      <c r="F7" s="30"/>
    </row>
    <row r="8" spans="1:8" ht="30" x14ac:dyDescent="0.25">
      <c r="A8" s="3" t="s">
        <v>314</v>
      </c>
      <c r="B8" s="3" t="s">
        <v>315</v>
      </c>
      <c r="C8" s="3" t="s">
        <v>316</v>
      </c>
      <c r="D8" s="3" t="s">
        <v>317</v>
      </c>
    </row>
    <row r="9" spans="1:8" x14ac:dyDescent="0.25">
      <c r="A9" s="5" t="s">
        <v>318</v>
      </c>
      <c r="B9" s="5" t="s">
        <v>258</v>
      </c>
      <c r="C9" s="5">
        <f>AVERAGEIF(C14:C23, "IT", E14:E23)</f>
        <v>1300000</v>
      </c>
      <c r="D9" s="21">
        <f>AVERAGEIF(C14:C23, "IT", E14:E23)</f>
        <v>1300000</v>
      </c>
    </row>
    <row r="10" spans="1:8" x14ac:dyDescent="0.25">
      <c r="A10" s="5" t="s">
        <v>319</v>
      </c>
      <c r="B10" s="5" t="s">
        <v>320</v>
      </c>
      <c r="C10" s="5">
        <f>COUNTIF(E14:E23, "&gt;1000000")</f>
        <v>5</v>
      </c>
      <c r="D10" s="22">
        <f>COUNTIF(E14:E23, "&gt;1000000")</f>
        <v>5</v>
      </c>
    </row>
    <row r="11" spans="1:8" x14ac:dyDescent="0.25">
      <c r="A11" s="5" t="s">
        <v>321</v>
      </c>
      <c r="B11" s="5" t="s">
        <v>322</v>
      </c>
      <c r="C11" s="5">
        <f>SUMIF(D14:D23, "Senior Engineer", E14:E23)</f>
        <v>4350000</v>
      </c>
      <c r="D11" s="21">
        <f>SUMIF(D14:D23, "Senior Engineer", E14:E23)</f>
        <v>4350000</v>
      </c>
    </row>
    <row r="13" spans="1:8" ht="30" x14ac:dyDescent="0.25">
      <c r="A13" s="3" t="s">
        <v>1</v>
      </c>
      <c r="B13" s="3" t="s">
        <v>2</v>
      </c>
      <c r="C13" s="3" t="s">
        <v>250</v>
      </c>
      <c r="D13" s="3" t="s">
        <v>323</v>
      </c>
      <c r="E13" s="3" t="s">
        <v>324</v>
      </c>
      <c r="F13" s="3" t="s">
        <v>325</v>
      </c>
    </row>
    <row r="14" spans="1:8" x14ac:dyDescent="0.25">
      <c r="A14" s="4" t="s">
        <v>326</v>
      </c>
      <c r="B14" s="5" t="s">
        <v>10</v>
      </c>
      <c r="C14" s="4" t="s">
        <v>258</v>
      </c>
      <c r="D14" s="5" t="s">
        <v>322</v>
      </c>
      <c r="E14" s="9">
        <v>1450000</v>
      </c>
      <c r="F14" s="4" t="str">
        <f t="shared" ref="F14:F23" si="0">IF(E14&gt;1000000, "Yes - High Band", "Standard Band")</f>
        <v>Yes - High Band</v>
      </c>
    </row>
    <row r="15" spans="1:8" x14ac:dyDescent="0.25">
      <c r="A15" s="4" t="s">
        <v>327</v>
      </c>
      <c r="B15" s="5" t="s">
        <v>13</v>
      </c>
      <c r="C15" s="4" t="s">
        <v>260</v>
      </c>
      <c r="D15" s="5" t="s">
        <v>328</v>
      </c>
      <c r="E15" s="9">
        <v>1200000</v>
      </c>
      <c r="F15" s="4" t="str">
        <f t="shared" si="0"/>
        <v>Yes - High Band</v>
      </c>
    </row>
    <row r="16" spans="1:8" x14ac:dyDescent="0.25">
      <c r="A16" s="4" t="s">
        <v>329</v>
      </c>
      <c r="B16" s="5" t="s">
        <v>15</v>
      </c>
      <c r="C16" s="4" t="s">
        <v>262</v>
      </c>
      <c r="D16" s="5" t="s">
        <v>330</v>
      </c>
      <c r="E16" s="9">
        <v>950000</v>
      </c>
      <c r="F16" s="4" t="str">
        <f t="shared" si="0"/>
        <v>Standard Band</v>
      </c>
    </row>
    <row r="17" spans="1:6" x14ac:dyDescent="0.25">
      <c r="A17" s="4" t="s">
        <v>331</v>
      </c>
      <c r="B17" s="5" t="s">
        <v>18</v>
      </c>
      <c r="C17" s="4" t="s">
        <v>258</v>
      </c>
      <c r="D17" s="5" t="s">
        <v>322</v>
      </c>
      <c r="E17" s="9">
        <v>1380000</v>
      </c>
      <c r="F17" s="4" t="str">
        <f t="shared" si="0"/>
        <v>Yes - High Band</v>
      </c>
    </row>
    <row r="18" spans="1:6" x14ac:dyDescent="0.25">
      <c r="A18" s="4" t="s">
        <v>332</v>
      </c>
      <c r="B18" s="5" t="s">
        <v>20</v>
      </c>
      <c r="C18" s="4" t="s">
        <v>266</v>
      </c>
      <c r="D18" s="5" t="s">
        <v>333</v>
      </c>
      <c r="E18" s="9">
        <v>1150000</v>
      </c>
      <c r="F18" s="4" t="str">
        <f t="shared" si="0"/>
        <v>Yes - High Band</v>
      </c>
    </row>
    <row r="19" spans="1:6" x14ac:dyDescent="0.25">
      <c r="A19" s="4" t="s">
        <v>334</v>
      </c>
      <c r="B19" s="5" t="s">
        <v>22</v>
      </c>
      <c r="C19" s="4" t="s">
        <v>258</v>
      </c>
      <c r="D19" s="5" t="s">
        <v>335</v>
      </c>
      <c r="E19" s="9">
        <v>850000</v>
      </c>
      <c r="F19" s="4" t="str">
        <f t="shared" si="0"/>
        <v>Standard Band</v>
      </c>
    </row>
    <row r="20" spans="1:6" x14ac:dyDescent="0.25">
      <c r="A20" s="4" t="s">
        <v>336</v>
      </c>
      <c r="B20" s="5" t="s">
        <v>24</v>
      </c>
      <c r="C20" s="4" t="s">
        <v>262</v>
      </c>
      <c r="D20" s="5" t="s">
        <v>337</v>
      </c>
      <c r="E20" s="9">
        <v>780000</v>
      </c>
      <c r="F20" s="4" t="str">
        <f t="shared" si="0"/>
        <v>Standard Band</v>
      </c>
    </row>
    <row r="21" spans="1:6" x14ac:dyDescent="0.25">
      <c r="A21" s="4" t="s">
        <v>338</v>
      </c>
      <c r="B21" s="5" t="s">
        <v>27</v>
      </c>
      <c r="C21" s="4" t="s">
        <v>258</v>
      </c>
      <c r="D21" s="5" t="s">
        <v>322</v>
      </c>
      <c r="E21" s="9">
        <v>1520000</v>
      </c>
      <c r="F21" s="4" t="str">
        <f t="shared" si="0"/>
        <v>Yes - High Band</v>
      </c>
    </row>
    <row r="22" spans="1:6" x14ac:dyDescent="0.25">
      <c r="A22" s="4" t="s">
        <v>339</v>
      </c>
      <c r="B22" s="5" t="s">
        <v>29</v>
      </c>
      <c r="C22" s="4" t="s">
        <v>266</v>
      </c>
      <c r="D22" s="5" t="s">
        <v>340</v>
      </c>
      <c r="E22" s="9">
        <v>650000</v>
      </c>
      <c r="F22" s="4" t="str">
        <f t="shared" si="0"/>
        <v>Standard Band</v>
      </c>
    </row>
    <row r="23" spans="1:6" x14ac:dyDescent="0.25">
      <c r="A23" s="4" t="s">
        <v>341</v>
      </c>
      <c r="B23" s="5" t="s">
        <v>31</v>
      </c>
      <c r="C23" s="4" t="s">
        <v>260</v>
      </c>
      <c r="D23" s="5" t="s">
        <v>342</v>
      </c>
      <c r="E23" s="9">
        <v>720000</v>
      </c>
      <c r="F23" s="4" t="str">
        <f t="shared" si="0"/>
        <v>Standard Band</v>
      </c>
    </row>
  </sheetData>
  <mergeCells count="2">
    <mergeCell ref="A3:H5"/>
    <mergeCell ref="A7:F7"/>
  </mergeCells>
  <conditionalFormatting sqref="F14:F23">
    <cfRule type="expression" dxfId="9" priority="1">
      <formula>$F14="Yes - High Band"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0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3" width="22" customWidth="1"/>
    <col min="4" max="4" width="18" customWidth="1"/>
    <col min="5" max="5" width="16" customWidth="1"/>
    <col min="6" max="6" width="18" customWidth="1"/>
    <col min="7" max="8" width="24" customWidth="1"/>
  </cols>
  <sheetData>
    <row r="1" spans="1:8" ht="19.5" x14ac:dyDescent="0.3">
      <c r="A1" s="1" t="s">
        <v>438</v>
      </c>
    </row>
    <row r="3" spans="1:8" x14ac:dyDescent="0.25">
      <c r="A3" s="27" t="s">
        <v>343</v>
      </c>
      <c r="B3" s="28"/>
      <c r="C3" s="28"/>
      <c r="D3" s="28"/>
      <c r="E3" s="28"/>
      <c r="F3" s="28"/>
      <c r="G3" s="28"/>
      <c r="H3" s="28"/>
    </row>
    <row r="4" spans="1:8" x14ac:dyDescent="0.25">
      <c r="A4" s="28"/>
      <c r="B4" s="28"/>
      <c r="C4" s="28"/>
      <c r="D4" s="28"/>
      <c r="E4" s="28"/>
      <c r="F4" s="28"/>
      <c r="G4" s="28"/>
      <c r="H4" s="28"/>
    </row>
    <row r="5" spans="1:8" ht="26.25" customHeight="1" x14ac:dyDescent="0.25">
      <c r="A5" s="28"/>
      <c r="B5" s="28"/>
      <c r="C5" s="28"/>
      <c r="D5" s="28"/>
      <c r="E5" s="28"/>
      <c r="F5" s="28"/>
      <c r="G5" s="28"/>
      <c r="H5" s="28"/>
    </row>
    <row r="7" spans="1:8" ht="30" x14ac:dyDescent="0.25">
      <c r="A7" s="3" t="s">
        <v>33</v>
      </c>
      <c r="B7" s="3" t="s">
        <v>34</v>
      </c>
      <c r="C7" s="3" t="s">
        <v>344</v>
      </c>
      <c r="D7" s="3" t="s">
        <v>345</v>
      </c>
      <c r="E7" s="3" t="s">
        <v>4</v>
      </c>
      <c r="F7" s="3" t="s">
        <v>346</v>
      </c>
      <c r="G7" s="3" t="s">
        <v>347</v>
      </c>
      <c r="H7" s="3" t="s">
        <v>348</v>
      </c>
    </row>
    <row r="8" spans="1:8" x14ac:dyDescent="0.25">
      <c r="A8" s="4" t="s">
        <v>349</v>
      </c>
      <c r="B8" s="5" t="s">
        <v>10</v>
      </c>
      <c r="C8" s="4">
        <v>80</v>
      </c>
      <c r="D8" s="4">
        <v>76</v>
      </c>
      <c r="E8" s="6">
        <f t="shared" ref="E8:E17" si="0">D8/C8</f>
        <v>0.95</v>
      </c>
      <c r="F8" s="4" t="str">
        <f t="shared" ref="F8:F17" si="1">IF(E8&gt;=0.85, "Safe", IF(E8&gt;=0.75, "Warning", "Critical"))</f>
        <v>Safe</v>
      </c>
      <c r="G8" s="4" t="str">
        <f t="shared" ref="G8:G17" si="2">IF(E8&lt;0.75, "DETAINED RISK (&lt;75%)", "Compliant")</f>
        <v>Compliant</v>
      </c>
      <c r="H8" s="4" t="str">
        <f t="shared" ref="H8:H17" si="3">IF(F8="Critical", "Issue Parent Notice", IF(F8="Warning", "Student Warning", "No Action"))</f>
        <v>No Action</v>
      </c>
    </row>
    <row r="9" spans="1:8" x14ac:dyDescent="0.25">
      <c r="A9" s="4" t="s">
        <v>350</v>
      </c>
      <c r="B9" s="5" t="s">
        <v>13</v>
      </c>
      <c r="C9" s="4">
        <v>80</v>
      </c>
      <c r="D9" s="4">
        <v>68</v>
      </c>
      <c r="E9" s="6">
        <f t="shared" si="0"/>
        <v>0.85</v>
      </c>
      <c r="F9" s="4" t="str">
        <f t="shared" si="1"/>
        <v>Safe</v>
      </c>
      <c r="G9" s="4" t="str">
        <f t="shared" si="2"/>
        <v>Compliant</v>
      </c>
      <c r="H9" s="4" t="str">
        <f t="shared" si="3"/>
        <v>No Action</v>
      </c>
    </row>
    <row r="10" spans="1:8" x14ac:dyDescent="0.25">
      <c r="A10" s="4" t="s">
        <v>351</v>
      </c>
      <c r="B10" s="5" t="s">
        <v>15</v>
      </c>
      <c r="C10" s="4">
        <v>80</v>
      </c>
      <c r="D10" s="4">
        <v>58</v>
      </c>
      <c r="E10" s="6">
        <f t="shared" si="0"/>
        <v>0.72499999999999998</v>
      </c>
      <c r="F10" s="4" t="str">
        <f t="shared" si="1"/>
        <v>Critical</v>
      </c>
      <c r="G10" s="4" t="str">
        <f t="shared" si="2"/>
        <v>DETAINED RISK (&lt;75%)</v>
      </c>
      <c r="H10" s="4" t="str">
        <f t="shared" si="3"/>
        <v>Issue Parent Notice</v>
      </c>
    </row>
    <row r="11" spans="1:8" x14ac:dyDescent="0.25">
      <c r="A11" s="4" t="s">
        <v>352</v>
      </c>
      <c r="B11" s="5" t="s">
        <v>18</v>
      </c>
      <c r="C11" s="4">
        <v>80</v>
      </c>
      <c r="D11" s="4">
        <v>78</v>
      </c>
      <c r="E11" s="6">
        <f t="shared" si="0"/>
        <v>0.97499999999999998</v>
      </c>
      <c r="F11" s="4" t="str">
        <f t="shared" si="1"/>
        <v>Safe</v>
      </c>
      <c r="G11" s="4" t="str">
        <f t="shared" si="2"/>
        <v>Compliant</v>
      </c>
      <c r="H11" s="4" t="str">
        <f t="shared" si="3"/>
        <v>No Action</v>
      </c>
    </row>
    <row r="12" spans="1:8" x14ac:dyDescent="0.25">
      <c r="A12" s="4" t="s">
        <v>353</v>
      </c>
      <c r="B12" s="5" t="s">
        <v>20</v>
      </c>
      <c r="C12" s="4">
        <v>80</v>
      </c>
      <c r="D12" s="4">
        <v>52</v>
      </c>
      <c r="E12" s="6">
        <f t="shared" si="0"/>
        <v>0.65</v>
      </c>
      <c r="F12" s="4" t="str">
        <f t="shared" si="1"/>
        <v>Critical</v>
      </c>
      <c r="G12" s="4" t="str">
        <f t="shared" si="2"/>
        <v>DETAINED RISK (&lt;75%)</v>
      </c>
      <c r="H12" s="4" t="str">
        <f t="shared" si="3"/>
        <v>Issue Parent Notice</v>
      </c>
    </row>
    <row r="13" spans="1:8" x14ac:dyDescent="0.25">
      <c r="A13" s="4" t="s">
        <v>354</v>
      </c>
      <c r="B13" s="5" t="s">
        <v>22</v>
      </c>
      <c r="C13" s="4">
        <v>80</v>
      </c>
      <c r="D13" s="4">
        <v>74</v>
      </c>
      <c r="E13" s="6">
        <f t="shared" si="0"/>
        <v>0.92500000000000004</v>
      </c>
      <c r="F13" s="4" t="str">
        <f t="shared" si="1"/>
        <v>Safe</v>
      </c>
      <c r="G13" s="4" t="str">
        <f t="shared" si="2"/>
        <v>Compliant</v>
      </c>
      <c r="H13" s="4" t="str">
        <f t="shared" si="3"/>
        <v>No Action</v>
      </c>
    </row>
    <row r="14" spans="1:8" x14ac:dyDescent="0.25">
      <c r="A14" s="4" t="s">
        <v>355</v>
      </c>
      <c r="B14" s="5" t="s">
        <v>24</v>
      </c>
      <c r="C14" s="4">
        <v>80</v>
      </c>
      <c r="D14" s="4">
        <v>62</v>
      </c>
      <c r="E14" s="6">
        <f t="shared" si="0"/>
        <v>0.77500000000000002</v>
      </c>
      <c r="F14" s="4" t="str">
        <f t="shared" si="1"/>
        <v>Warning</v>
      </c>
      <c r="G14" s="4" t="str">
        <f t="shared" si="2"/>
        <v>Compliant</v>
      </c>
      <c r="H14" s="4" t="str">
        <f t="shared" si="3"/>
        <v>Student Warning</v>
      </c>
    </row>
    <row r="15" spans="1:8" x14ac:dyDescent="0.25">
      <c r="A15" s="4" t="s">
        <v>356</v>
      </c>
      <c r="B15" s="5" t="s">
        <v>27</v>
      </c>
      <c r="C15" s="4">
        <v>80</v>
      </c>
      <c r="D15" s="4">
        <v>79</v>
      </c>
      <c r="E15" s="6">
        <f t="shared" si="0"/>
        <v>0.98750000000000004</v>
      </c>
      <c r="F15" s="4" t="str">
        <f t="shared" si="1"/>
        <v>Safe</v>
      </c>
      <c r="G15" s="4" t="str">
        <f t="shared" si="2"/>
        <v>Compliant</v>
      </c>
      <c r="H15" s="4" t="str">
        <f t="shared" si="3"/>
        <v>No Action</v>
      </c>
    </row>
    <row r="16" spans="1:8" x14ac:dyDescent="0.25">
      <c r="A16" s="4" t="s">
        <v>357</v>
      </c>
      <c r="B16" s="5" t="s">
        <v>29</v>
      </c>
      <c r="C16" s="4">
        <v>80</v>
      </c>
      <c r="D16" s="4">
        <v>48</v>
      </c>
      <c r="E16" s="6">
        <f t="shared" si="0"/>
        <v>0.6</v>
      </c>
      <c r="F16" s="4" t="str">
        <f t="shared" si="1"/>
        <v>Critical</v>
      </c>
      <c r="G16" s="4" t="str">
        <f t="shared" si="2"/>
        <v>DETAINED RISK (&lt;75%)</v>
      </c>
      <c r="H16" s="4" t="str">
        <f t="shared" si="3"/>
        <v>Issue Parent Notice</v>
      </c>
    </row>
    <row r="17" spans="1:8" x14ac:dyDescent="0.25">
      <c r="A17" s="4" t="s">
        <v>358</v>
      </c>
      <c r="B17" s="5" t="s">
        <v>31</v>
      </c>
      <c r="C17" s="4">
        <v>80</v>
      </c>
      <c r="D17" s="4">
        <v>71</v>
      </c>
      <c r="E17" s="6">
        <f t="shared" si="0"/>
        <v>0.88749999999999996</v>
      </c>
      <c r="F17" s="4" t="str">
        <f t="shared" si="1"/>
        <v>Safe</v>
      </c>
      <c r="G17" s="4" t="str">
        <f t="shared" si="2"/>
        <v>Compliant</v>
      </c>
      <c r="H17" s="4" t="str">
        <f t="shared" si="3"/>
        <v>No Action</v>
      </c>
    </row>
    <row r="19" spans="1:8" x14ac:dyDescent="0.25">
      <c r="A19" s="2"/>
      <c r="B19" s="14" t="s">
        <v>359</v>
      </c>
      <c r="C19" s="2"/>
      <c r="D19" s="2"/>
      <c r="E19" s="23">
        <f>AVERAGE(E8:E17)</f>
        <v>0.83249999999999991</v>
      </c>
      <c r="F19" s="2"/>
      <c r="G19" s="2"/>
      <c r="H19" s="2"/>
    </row>
    <row r="20" spans="1:8" x14ac:dyDescent="0.25">
      <c r="A20" s="2"/>
      <c r="B20" s="14" t="s">
        <v>360</v>
      </c>
      <c r="C20" s="2"/>
      <c r="D20" s="2"/>
      <c r="E20" s="24">
        <f>COUNTIF(E8:E17, "&lt;0.75")</f>
        <v>3</v>
      </c>
      <c r="F20" s="2"/>
      <c r="G20" s="2"/>
      <c r="H20" s="2"/>
    </row>
  </sheetData>
  <mergeCells count="1">
    <mergeCell ref="A3:H5"/>
  </mergeCells>
  <conditionalFormatting sqref="F8:F17">
    <cfRule type="expression" dxfId="8" priority="1">
      <formula>$F8="Critical"</formula>
    </cfRule>
    <cfRule type="expression" dxfId="7" priority="2">
      <formula>$F8="Warning"</formula>
    </cfRule>
    <cfRule type="expression" dxfId="6" priority="3">
      <formula>$F8="Safe"</formula>
    </cfRule>
  </conditionalFormatting>
  <conditionalFormatting sqref="G8:G17">
    <cfRule type="expression" dxfId="5" priority="4">
      <formula>$G8="DETAINED RISK (&lt;75%)"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4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28" customWidth="1"/>
    <col min="3" max="3" width="22" customWidth="1"/>
    <col min="4" max="4" width="15" customWidth="1"/>
    <col min="5" max="5" width="24" customWidth="1"/>
    <col min="6" max="6" width="22" customWidth="1"/>
    <col min="7" max="7" width="18" customWidth="1"/>
    <col min="8" max="8" width="24" customWidth="1"/>
  </cols>
  <sheetData>
    <row r="1" spans="1:8" ht="19.5" x14ac:dyDescent="0.3">
      <c r="A1" s="1" t="s">
        <v>437</v>
      </c>
    </row>
    <row r="3" spans="1:8" x14ac:dyDescent="0.25">
      <c r="A3" s="27" t="s">
        <v>361</v>
      </c>
      <c r="B3" s="28"/>
      <c r="C3" s="28"/>
      <c r="D3" s="28"/>
      <c r="E3" s="28"/>
      <c r="F3" s="28"/>
      <c r="G3" s="28"/>
      <c r="H3" s="28"/>
    </row>
    <row r="4" spans="1:8" x14ac:dyDescent="0.25">
      <c r="A4" s="28"/>
      <c r="B4" s="28"/>
      <c r="C4" s="28"/>
      <c r="D4" s="28"/>
      <c r="E4" s="28"/>
      <c r="F4" s="28"/>
      <c r="G4" s="28"/>
      <c r="H4" s="28"/>
    </row>
    <row r="5" spans="1:8" ht="30.75" customHeight="1" x14ac:dyDescent="0.25">
      <c r="A5" s="28"/>
      <c r="B5" s="28"/>
      <c r="C5" s="28"/>
      <c r="D5" s="28"/>
      <c r="E5" s="28"/>
      <c r="F5" s="28"/>
      <c r="G5" s="28"/>
      <c r="H5" s="28"/>
    </row>
    <row r="7" spans="1:8" ht="30" x14ac:dyDescent="0.25">
      <c r="A7" s="3" t="s">
        <v>362</v>
      </c>
      <c r="B7" s="3" t="s">
        <v>363</v>
      </c>
      <c r="C7" s="3" t="s">
        <v>115</v>
      </c>
      <c r="D7" s="3" t="s">
        <v>364</v>
      </c>
      <c r="E7" s="3" t="s">
        <v>365</v>
      </c>
      <c r="F7" s="3" t="s">
        <v>366</v>
      </c>
      <c r="G7" s="3" t="s">
        <v>367</v>
      </c>
      <c r="H7" s="3" t="s">
        <v>368</v>
      </c>
    </row>
    <row r="8" spans="1:8" x14ac:dyDescent="0.25">
      <c r="A8" s="4" t="s">
        <v>369</v>
      </c>
      <c r="B8" s="5" t="s">
        <v>370</v>
      </c>
      <c r="C8" s="5" t="s">
        <v>371</v>
      </c>
      <c r="D8" s="20">
        <v>46205</v>
      </c>
      <c r="E8" s="9">
        <f>IFERROR(125000, "⚠️ Missing Amount")</f>
        <v>125000</v>
      </c>
      <c r="F8" s="9">
        <v>100000</v>
      </c>
      <c r="G8" s="4" t="str">
        <f t="shared" ref="G8:G17" si="0">IF(ISNUMBER(E8), IF(E8&gt;F8, "OVER BUDGET", "Within Budget"), "Invalid Data")</f>
        <v>OVER BUDGET</v>
      </c>
      <c r="H8" s="4" t="str">
        <f t="shared" ref="H8:H17" si="1">IF(G8="OVER BUDGET", "Requires CFO Approval", "Approved")</f>
        <v>Requires CFO Approval</v>
      </c>
    </row>
    <row r="9" spans="1:8" x14ac:dyDescent="0.25">
      <c r="A9" s="4" t="s">
        <v>372</v>
      </c>
      <c r="B9" s="5" t="s">
        <v>373</v>
      </c>
      <c r="C9" s="5" t="s">
        <v>374</v>
      </c>
      <c r="D9" s="20">
        <v>46208</v>
      </c>
      <c r="E9" s="9">
        <f>IFERROR(18000, "⚠️ Missing Amount")</f>
        <v>18000</v>
      </c>
      <c r="F9" s="9">
        <v>25000</v>
      </c>
      <c r="G9" s="4" t="str">
        <f t="shared" si="0"/>
        <v>Within Budget</v>
      </c>
      <c r="H9" s="4" t="str">
        <f t="shared" si="1"/>
        <v>Approved</v>
      </c>
    </row>
    <row r="10" spans="1:8" x14ac:dyDescent="0.25">
      <c r="A10" s="4" t="s">
        <v>375</v>
      </c>
      <c r="B10" s="5" t="s">
        <v>376</v>
      </c>
      <c r="C10" s="5" t="s">
        <v>371</v>
      </c>
      <c r="D10" s="20">
        <v>46213</v>
      </c>
      <c r="E10" s="9">
        <f>IFERROR(340000, "⚠️ Missing Amount")</f>
        <v>340000</v>
      </c>
      <c r="F10" s="9">
        <v>300000</v>
      </c>
      <c r="G10" s="4" t="str">
        <f t="shared" si="0"/>
        <v>OVER BUDGET</v>
      </c>
      <c r="H10" s="4" t="str">
        <f t="shared" si="1"/>
        <v>Requires CFO Approval</v>
      </c>
    </row>
    <row r="11" spans="1:8" x14ac:dyDescent="0.25">
      <c r="A11" s="4" t="s">
        <v>377</v>
      </c>
      <c r="B11" s="5" t="s">
        <v>378</v>
      </c>
      <c r="C11" s="5" t="s">
        <v>379</v>
      </c>
      <c r="D11" s="20">
        <v>46215</v>
      </c>
      <c r="E11" s="9">
        <f>IFERROR(45000, "⚠️ Missing Amount")</f>
        <v>45000</v>
      </c>
      <c r="F11" s="9">
        <v>50000</v>
      </c>
      <c r="G11" s="4" t="str">
        <f t="shared" si="0"/>
        <v>Within Budget</v>
      </c>
      <c r="H11" s="4" t="str">
        <f t="shared" si="1"/>
        <v>Approved</v>
      </c>
    </row>
    <row r="12" spans="1:8" x14ac:dyDescent="0.25">
      <c r="A12" s="4" t="s">
        <v>380</v>
      </c>
      <c r="B12" s="5" t="s">
        <v>381</v>
      </c>
      <c r="C12" s="5" t="s">
        <v>371</v>
      </c>
      <c r="D12" s="20">
        <v>46218</v>
      </c>
      <c r="E12" s="9">
        <f>IFERROR(185000, "⚠️ Missing Amount")</f>
        <v>185000</v>
      </c>
      <c r="F12" s="9">
        <v>200000</v>
      </c>
      <c r="G12" s="4" t="str">
        <f t="shared" si="0"/>
        <v>Within Budget</v>
      </c>
      <c r="H12" s="4" t="str">
        <f t="shared" si="1"/>
        <v>Approved</v>
      </c>
    </row>
    <row r="13" spans="1:8" x14ac:dyDescent="0.25">
      <c r="A13" s="4" t="s">
        <v>382</v>
      </c>
      <c r="B13" s="5" t="s">
        <v>383</v>
      </c>
      <c r="C13" s="5" t="s">
        <v>384</v>
      </c>
      <c r="D13" s="20">
        <v>46221</v>
      </c>
      <c r="E13" s="9">
        <f>IFERROR(160000, "⚠️ Missing Amount")</f>
        <v>160000</v>
      </c>
      <c r="F13" s="9">
        <v>140000</v>
      </c>
      <c r="G13" s="4" t="str">
        <f t="shared" si="0"/>
        <v>OVER BUDGET</v>
      </c>
      <c r="H13" s="4" t="str">
        <f t="shared" si="1"/>
        <v>Requires CFO Approval</v>
      </c>
    </row>
    <row r="14" spans="1:8" x14ac:dyDescent="0.25">
      <c r="A14" s="4" t="s">
        <v>385</v>
      </c>
      <c r="B14" s="5" t="s">
        <v>386</v>
      </c>
      <c r="C14" s="5" t="s">
        <v>374</v>
      </c>
      <c r="D14" s="20">
        <v>46223</v>
      </c>
      <c r="E14" s="9">
        <f>IFERROR(22000, "⚠️ Missing Amount")</f>
        <v>22000</v>
      </c>
      <c r="F14" s="9">
        <v>30000</v>
      </c>
      <c r="G14" s="4" t="str">
        <f t="shared" si="0"/>
        <v>Within Budget</v>
      </c>
      <c r="H14" s="4" t="str">
        <f t="shared" si="1"/>
        <v>Approved</v>
      </c>
    </row>
    <row r="15" spans="1:8" x14ac:dyDescent="0.25">
      <c r="A15" s="4" t="s">
        <v>387</v>
      </c>
      <c r="B15" s="5" t="s">
        <v>388</v>
      </c>
      <c r="C15" s="5" t="s">
        <v>379</v>
      </c>
      <c r="D15" s="20">
        <v>46225</v>
      </c>
      <c r="E15" s="9">
        <f>IFERROR(85000, "⚠️ Missing Amount")</f>
        <v>85000</v>
      </c>
      <c r="F15" s="9">
        <v>80000</v>
      </c>
      <c r="G15" s="4" t="str">
        <f t="shared" si="0"/>
        <v>OVER BUDGET</v>
      </c>
      <c r="H15" s="4" t="str">
        <f t="shared" si="1"/>
        <v>Requires CFO Approval</v>
      </c>
    </row>
    <row r="16" spans="1:8" x14ac:dyDescent="0.25">
      <c r="A16" s="4" t="s">
        <v>389</v>
      </c>
      <c r="B16" s="5" t="s">
        <v>390</v>
      </c>
      <c r="C16" s="5" t="s">
        <v>371</v>
      </c>
      <c r="D16" s="20">
        <v>46228</v>
      </c>
      <c r="E16" s="9">
        <f>IFERROR(65000, "⚠️ Missing Amount")</f>
        <v>65000</v>
      </c>
      <c r="F16" s="9">
        <v>70000</v>
      </c>
      <c r="G16" s="4" t="str">
        <f t="shared" si="0"/>
        <v>Within Budget</v>
      </c>
      <c r="H16" s="4" t="str">
        <f t="shared" si="1"/>
        <v>Approved</v>
      </c>
    </row>
    <row r="17" spans="1:8" x14ac:dyDescent="0.25">
      <c r="A17" s="4" t="s">
        <v>391</v>
      </c>
      <c r="B17" s="5" t="s">
        <v>392</v>
      </c>
      <c r="C17" s="5" t="s">
        <v>393</v>
      </c>
      <c r="D17" s="20">
        <v>46231</v>
      </c>
      <c r="E17" s="9">
        <f>IFERROR(35000, "⚠️ Missing Amount")</f>
        <v>35000</v>
      </c>
      <c r="F17" s="9">
        <v>40000</v>
      </c>
      <c r="G17" s="4" t="str">
        <f t="shared" si="0"/>
        <v>Within Budget</v>
      </c>
      <c r="H17" s="4" t="str">
        <f t="shared" si="1"/>
        <v>Approved</v>
      </c>
    </row>
    <row r="19" spans="1:8" x14ac:dyDescent="0.25">
      <c r="A19" s="29" t="s">
        <v>394</v>
      </c>
      <c r="B19" s="30"/>
      <c r="C19" s="30"/>
      <c r="D19" s="30"/>
    </row>
    <row r="20" spans="1:8" ht="30" x14ac:dyDescent="0.25">
      <c r="A20" s="3" t="s">
        <v>395</v>
      </c>
      <c r="B20" s="3" t="s">
        <v>396</v>
      </c>
      <c r="C20" s="3" t="s">
        <v>397</v>
      </c>
      <c r="D20" s="3" t="s">
        <v>398</v>
      </c>
    </row>
    <row r="21" spans="1:8" x14ac:dyDescent="0.25">
      <c r="A21" s="14" t="s">
        <v>371</v>
      </c>
      <c r="B21" s="25">
        <f>SUMIF($C$8:$C$17, A21, $E$8:$E$17)</f>
        <v>715000</v>
      </c>
      <c r="C21" s="25">
        <f>SUMIF($C$8:$C$17, A21, $F$8:$F$17)</f>
        <v>670000</v>
      </c>
      <c r="D21" s="11">
        <f>(B21-C21)/C21</f>
        <v>6.7164179104477612E-2</v>
      </c>
    </row>
    <row r="22" spans="1:8" x14ac:dyDescent="0.25">
      <c r="A22" s="14" t="s">
        <v>374</v>
      </c>
      <c r="B22" s="25">
        <f>SUMIF($C$8:$C$17, A22, $E$8:$E$17)</f>
        <v>40000</v>
      </c>
      <c r="C22" s="25">
        <f>SUMIF($C$8:$C$17, A22, $F$8:$F$17)</f>
        <v>55000</v>
      </c>
      <c r="D22" s="11">
        <f>(B22-C22)/C22</f>
        <v>-0.27272727272727271</v>
      </c>
    </row>
    <row r="23" spans="1:8" x14ac:dyDescent="0.25">
      <c r="A23" s="14" t="s">
        <v>379</v>
      </c>
      <c r="B23" s="25">
        <f>SUMIF($C$8:$C$17, A23, $E$8:$E$17)</f>
        <v>130000</v>
      </c>
      <c r="C23" s="25">
        <f>SUMIF($C$8:$C$17, A23, $F$8:$F$17)</f>
        <v>130000</v>
      </c>
      <c r="D23" s="11">
        <f>(B23-C23)/C23</f>
        <v>0</v>
      </c>
    </row>
    <row r="24" spans="1:8" x14ac:dyDescent="0.25">
      <c r="A24" s="14" t="s">
        <v>384</v>
      </c>
      <c r="B24" s="25">
        <f>SUMIF($C$8:$C$17, A24, $E$8:$E$17)</f>
        <v>160000</v>
      </c>
      <c r="C24" s="25">
        <f>SUMIF($C$8:$C$17, A24, $F$8:$F$17)</f>
        <v>140000</v>
      </c>
      <c r="D24" s="11">
        <f>(B24-C24)/C24</f>
        <v>0.14285714285714285</v>
      </c>
    </row>
  </sheetData>
  <mergeCells count="2">
    <mergeCell ref="A3:H5"/>
    <mergeCell ref="A19:D19"/>
  </mergeCells>
  <conditionalFormatting sqref="G8:G17">
    <cfRule type="expression" dxfId="4" priority="1">
      <formula>$G8="OVER BUDGET"</formula>
    </cfRule>
    <cfRule type="expression" dxfId="3" priority="2">
      <formula>$G8="Within Budget"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0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28" customWidth="1"/>
    <col min="3" max="3" width="20" customWidth="1"/>
    <col min="4" max="4" width="22" customWidth="1"/>
    <col min="5" max="5" width="26" customWidth="1"/>
    <col min="6" max="6" width="16" customWidth="1"/>
    <col min="7" max="7" width="20" customWidth="1"/>
    <col min="8" max="8" width="22" customWidth="1"/>
    <col min="9" max="9" width="24" customWidth="1"/>
    <col min="10" max="10" width="12" customWidth="1"/>
    <col min="11" max="11" width="18" customWidth="1"/>
    <col min="12" max="12" width="20" customWidth="1"/>
    <col min="13" max="13" width="22" customWidth="1"/>
  </cols>
  <sheetData>
    <row r="1" spans="1:13" ht="19.5" x14ac:dyDescent="0.3">
      <c r="A1" s="1" t="s">
        <v>436</v>
      </c>
    </row>
    <row r="3" spans="1:13" x14ac:dyDescent="0.25">
      <c r="A3" s="27" t="s">
        <v>399</v>
      </c>
      <c r="B3" s="28"/>
      <c r="C3" s="28"/>
      <c r="D3" s="28"/>
      <c r="E3" s="28"/>
      <c r="F3" s="28"/>
      <c r="G3" s="28"/>
      <c r="H3" s="28"/>
      <c r="I3" s="28"/>
    </row>
    <row r="4" spans="1:13" x14ac:dyDescent="0.25">
      <c r="A4" s="28"/>
      <c r="B4" s="28"/>
      <c r="C4" s="28"/>
      <c r="D4" s="28"/>
      <c r="E4" s="28"/>
      <c r="F4" s="28"/>
      <c r="G4" s="28"/>
      <c r="H4" s="28"/>
      <c r="I4" s="28"/>
    </row>
    <row r="5" spans="1:13" ht="27" customHeight="1" x14ac:dyDescent="0.25">
      <c r="A5" s="28"/>
      <c r="B5" s="28"/>
      <c r="C5" s="28"/>
      <c r="D5" s="28"/>
      <c r="E5" s="28"/>
      <c r="F5" s="28"/>
      <c r="G5" s="28"/>
      <c r="H5" s="28"/>
      <c r="I5" s="28"/>
    </row>
    <row r="7" spans="1:13" ht="30" x14ac:dyDescent="0.25">
      <c r="A7" s="3" t="s">
        <v>400</v>
      </c>
      <c r="B7" s="3" t="s">
        <v>401</v>
      </c>
      <c r="C7" s="3" t="s">
        <v>402</v>
      </c>
      <c r="D7" s="3" t="s">
        <v>403</v>
      </c>
      <c r="E7" s="3" t="s">
        <v>404</v>
      </c>
      <c r="F7" s="3" t="s">
        <v>405</v>
      </c>
      <c r="G7" s="3" t="s">
        <v>406</v>
      </c>
      <c r="H7" s="3" t="s">
        <v>407</v>
      </c>
      <c r="I7" s="3" t="s">
        <v>408</v>
      </c>
      <c r="K7" s="8" t="s">
        <v>402</v>
      </c>
      <c r="L7" s="8" t="s">
        <v>407</v>
      </c>
      <c r="M7" s="8" t="s">
        <v>409</v>
      </c>
    </row>
    <row r="8" spans="1:13" x14ac:dyDescent="0.25">
      <c r="A8" s="4" t="s">
        <v>410</v>
      </c>
      <c r="B8" s="5" t="s">
        <v>411</v>
      </c>
      <c r="C8" s="5" t="s">
        <v>412</v>
      </c>
      <c r="D8" s="9">
        <v>45000000</v>
      </c>
      <c r="E8" s="9">
        <f t="shared" ref="E8:E17" si="0">VLOOKUP(C8, $K$8:$M$11, 3, FALSE)</f>
        <v>40000000</v>
      </c>
      <c r="F8" s="6">
        <f t="shared" ref="F8:F17" si="1">D8/E8</f>
        <v>1.125</v>
      </c>
      <c r="G8" s="4" t="str">
        <f t="shared" ref="G8:G17" si="2">IF(F8&gt;=1, "Achieved", IF(F8&gt;=0.9, "Near Target", "Below Target"))</f>
        <v>Achieved</v>
      </c>
      <c r="H8" s="4" t="str">
        <f t="shared" ref="H8:H17" si="3">VLOOKUP(C8, $K$8:$M$11, 2, FALSE)</f>
        <v>Aarav Sharma</v>
      </c>
      <c r="I8" s="4" t="str">
        <f t="shared" ref="I8:I17" si="4">IF(G8="Achieved", "Quarterly Incentive", IF(G8="Near Target", "Marketing Push", "Strategic Restructure"))</f>
        <v>Quarterly Incentive</v>
      </c>
      <c r="K8" s="2" t="s">
        <v>412</v>
      </c>
      <c r="L8" s="2" t="s">
        <v>10</v>
      </c>
      <c r="M8" s="25">
        <v>40000000</v>
      </c>
    </row>
    <row r="9" spans="1:13" x14ac:dyDescent="0.25">
      <c r="A9" s="4" t="s">
        <v>413</v>
      </c>
      <c r="B9" s="5" t="s">
        <v>414</v>
      </c>
      <c r="C9" s="5" t="s">
        <v>412</v>
      </c>
      <c r="D9" s="9">
        <v>38000000</v>
      </c>
      <c r="E9" s="9">
        <f t="shared" si="0"/>
        <v>40000000</v>
      </c>
      <c r="F9" s="6">
        <f t="shared" si="1"/>
        <v>0.95</v>
      </c>
      <c r="G9" s="4" t="str">
        <f t="shared" si="2"/>
        <v>Near Target</v>
      </c>
      <c r="H9" s="4" t="str">
        <f t="shared" si="3"/>
        <v>Aarav Sharma</v>
      </c>
      <c r="I9" s="4" t="str">
        <f t="shared" si="4"/>
        <v>Marketing Push</v>
      </c>
      <c r="K9" s="2" t="s">
        <v>415</v>
      </c>
      <c r="L9" s="2" t="s">
        <v>13</v>
      </c>
      <c r="M9" s="25">
        <v>35000000</v>
      </c>
    </row>
    <row r="10" spans="1:13" x14ac:dyDescent="0.25">
      <c r="A10" s="4" t="s">
        <v>416</v>
      </c>
      <c r="B10" s="5" t="s">
        <v>417</v>
      </c>
      <c r="C10" s="5" t="s">
        <v>415</v>
      </c>
      <c r="D10" s="9">
        <v>36000000</v>
      </c>
      <c r="E10" s="9">
        <f t="shared" si="0"/>
        <v>35000000</v>
      </c>
      <c r="F10" s="6">
        <f t="shared" si="1"/>
        <v>1.0285714285714285</v>
      </c>
      <c r="G10" s="4" t="str">
        <f t="shared" si="2"/>
        <v>Achieved</v>
      </c>
      <c r="H10" s="4" t="str">
        <f t="shared" si="3"/>
        <v>Priya Nair</v>
      </c>
      <c r="I10" s="4" t="str">
        <f t="shared" si="4"/>
        <v>Quarterly Incentive</v>
      </c>
      <c r="K10" s="2" t="s">
        <v>418</v>
      </c>
      <c r="L10" s="2" t="s">
        <v>15</v>
      </c>
      <c r="M10" s="25">
        <v>42000000</v>
      </c>
    </row>
    <row r="11" spans="1:13" x14ac:dyDescent="0.25">
      <c r="A11" s="4" t="s">
        <v>419</v>
      </c>
      <c r="B11" s="5" t="s">
        <v>420</v>
      </c>
      <c r="C11" s="5" t="s">
        <v>415</v>
      </c>
      <c r="D11" s="9">
        <v>31000000</v>
      </c>
      <c r="E11" s="9">
        <f t="shared" si="0"/>
        <v>35000000</v>
      </c>
      <c r="F11" s="6">
        <f t="shared" si="1"/>
        <v>0.88571428571428568</v>
      </c>
      <c r="G11" s="4" t="str">
        <f t="shared" si="2"/>
        <v>Below Target</v>
      </c>
      <c r="H11" s="4" t="str">
        <f t="shared" si="3"/>
        <v>Priya Nair</v>
      </c>
      <c r="I11" s="4" t="str">
        <f t="shared" si="4"/>
        <v>Strategic Restructure</v>
      </c>
      <c r="K11" s="2" t="s">
        <v>421</v>
      </c>
      <c r="L11" s="2" t="s">
        <v>18</v>
      </c>
      <c r="M11" s="25">
        <v>28000000</v>
      </c>
    </row>
    <row r="12" spans="1:13" x14ac:dyDescent="0.25">
      <c r="A12" s="4" t="s">
        <v>422</v>
      </c>
      <c r="B12" s="5" t="s">
        <v>423</v>
      </c>
      <c r="C12" s="5" t="s">
        <v>418</v>
      </c>
      <c r="D12" s="9">
        <v>48000000</v>
      </c>
      <c r="E12" s="9">
        <f t="shared" si="0"/>
        <v>42000000</v>
      </c>
      <c r="F12" s="6">
        <f t="shared" si="1"/>
        <v>1.1428571428571428</v>
      </c>
      <c r="G12" s="4" t="str">
        <f t="shared" si="2"/>
        <v>Achieved</v>
      </c>
      <c r="H12" s="4" t="str">
        <f t="shared" si="3"/>
        <v>Rohan Mehta</v>
      </c>
      <c r="I12" s="4" t="str">
        <f t="shared" si="4"/>
        <v>Quarterly Incentive</v>
      </c>
    </row>
    <row r="13" spans="1:13" x14ac:dyDescent="0.25">
      <c r="A13" s="4" t="s">
        <v>424</v>
      </c>
      <c r="B13" s="5" t="s">
        <v>425</v>
      </c>
      <c r="C13" s="5" t="s">
        <v>418</v>
      </c>
      <c r="D13" s="9">
        <v>41000000</v>
      </c>
      <c r="E13" s="9">
        <f t="shared" si="0"/>
        <v>42000000</v>
      </c>
      <c r="F13" s="6">
        <f t="shared" si="1"/>
        <v>0.97619047619047616</v>
      </c>
      <c r="G13" s="4" t="str">
        <f t="shared" si="2"/>
        <v>Near Target</v>
      </c>
      <c r="H13" s="4" t="str">
        <f t="shared" si="3"/>
        <v>Rohan Mehta</v>
      </c>
      <c r="I13" s="4" t="str">
        <f t="shared" si="4"/>
        <v>Marketing Push</v>
      </c>
    </row>
    <row r="14" spans="1:13" x14ac:dyDescent="0.25">
      <c r="A14" s="4" t="s">
        <v>426</v>
      </c>
      <c r="B14" s="5" t="s">
        <v>427</v>
      </c>
      <c r="C14" s="5" t="s">
        <v>418</v>
      </c>
      <c r="D14" s="9">
        <v>39000000</v>
      </c>
      <c r="E14" s="9">
        <f t="shared" si="0"/>
        <v>42000000</v>
      </c>
      <c r="F14" s="6">
        <f t="shared" si="1"/>
        <v>0.9285714285714286</v>
      </c>
      <c r="G14" s="4" t="str">
        <f t="shared" si="2"/>
        <v>Near Target</v>
      </c>
      <c r="H14" s="4" t="str">
        <f t="shared" si="3"/>
        <v>Rohan Mehta</v>
      </c>
      <c r="I14" s="4" t="str">
        <f t="shared" si="4"/>
        <v>Marketing Push</v>
      </c>
    </row>
    <row r="15" spans="1:13" x14ac:dyDescent="0.25">
      <c r="A15" s="4" t="s">
        <v>428</v>
      </c>
      <c r="B15" s="5" t="s">
        <v>429</v>
      </c>
      <c r="C15" s="5" t="s">
        <v>421</v>
      </c>
      <c r="D15" s="9">
        <v>29000000</v>
      </c>
      <c r="E15" s="9">
        <f t="shared" si="0"/>
        <v>28000000</v>
      </c>
      <c r="F15" s="6">
        <f t="shared" si="1"/>
        <v>1.0357142857142858</v>
      </c>
      <c r="G15" s="4" t="str">
        <f t="shared" si="2"/>
        <v>Achieved</v>
      </c>
      <c r="H15" s="4" t="str">
        <f t="shared" si="3"/>
        <v>Ananya Iyer</v>
      </c>
      <c r="I15" s="4" t="str">
        <f t="shared" si="4"/>
        <v>Quarterly Incentive</v>
      </c>
    </row>
    <row r="16" spans="1:13" x14ac:dyDescent="0.25">
      <c r="A16" s="4" t="s">
        <v>430</v>
      </c>
      <c r="B16" s="5" t="s">
        <v>431</v>
      </c>
      <c r="C16" s="5" t="s">
        <v>412</v>
      </c>
      <c r="D16" s="9">
        <v>42000000</v>
      </c>
      <c r="E16" s="9">
        <f t="shared" si="0"/>
        <v>40000000</v>
      </c>
      <c r="F16" s="6">
        <f t="shared" si="1"/>
        <v>1.05</v>
      </c>
      <c r="G16" s="4" t="str">
        <f t="shared" si="2"/>
        <v>Achieved</v>
      </c>
      <c r="H16" s="4" t="str">
        <f t="shared" si="3"/>
        <v>Aarav Sharma</v>
      </c>
      <c r="I16" s="4" t="str">
        <f t="shared" si="4"/>
        <v>Quarterly Incentive</v>
      </c>
    </row>
    <row r="17" spans="1:9" x14ac:dyDescent="0.25">
      <c r="A17" s="4" t="s">
        <v>432</v>
      </c>
      <c r="B17" s="5" t="s">
        <v>433</v>
      </c>
      <c r="C17" s="5" t="s">
        <v>421</v>
      </c>
      <c r="D17" s="9">
        <v>24000000</v>
      </c>
      <c r="E17" s="9">
        <f t="shared" si="0"/>
        <v>28000000</v>
      </c>
      <c r="F17" s="6">
        <f t="shared" si="1"/>
        <v>0.8571428571428571</v>
      </c>
      <c r="G17" s="4" t="str">
        <f t="shared" si="2"/>
        <v>Below Target</v>
      </c>
      <c r="H17" s="4" t="str">
        <f t="shared" si="3"/>
        <v>Ananya Iyer</v>
      </c>
      <c r="I17" s="4" t="str">
        <f t="shared" si="4"/>
        <v>Strategic Restructure</v>
      </c>
    </row>
    <row r="19" spans="1:9" x14ac:dyDescent="0.25">
      <c r="A19" s="2"/>
      <c r="B19" s="14" t="s">
        <v>434</v>
      </c>
      <c r="C19" s="2"/>
      <c r="D19" s="26">
        <f>AVERAGE(D8:D17)</f>
        <v>37300000</v>
      </c>
      <c r="E19" s="2"/>
      <c r="F19" s="2"/>
      <c r="G19" s="2"/>
      <c r="H19" s="2"/>
      <c r="I19" s="2"/>
    </row>
    <row r="20" spans="1:9" x14ac:dyDescent="0.25">
      <c r="A20" s="2"/>
      <c r="B20" s="14" t="s">
        <v>435</v>
      </c>
      <c r="C20" s="2"/>
      <c r="D20" s="26">
        <f>MAX(D8:D17)</f>
        <v>48000000</v>
      </c>
      <c r="E20" s="2"/>
      <c r="F20" s="2"/>
      <c r="G20" s="2"/>
      <c r="H20" s="2"/>
      <c r="I20" s="2"/>
    </row>
  </sheetData>
  <mergeCells count="1">
    <mergeCell ref="A3:I5"/>
  </mergeCells>
  <conditionalFormatting sqref="G8:G17">
    <cfRule type="expression" dxfId="2" priority="1">
      <formula>$G8="Achieved"</formula>
    </cfRule>
    <cfRule type="expression" dxfId="1" priority="2">
      <formula>$G8="Near Target"</formula>
    </cfRule>
    <cfRule type="expression" dxfId="0" priority="3">
      <formula>$G8="Below Target"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1. Employee Appraisal Logic</vt:lpstr>
      <vt:lpstr>2. Student Result Processing</vt:lpstr>
      <vt:lpstr>3. Ticket Priority Analyzer</vt:lpstr>
      <vt:lpstr>4. Sales Incentive Calculator</vt:lpstr>
      <vt:lpstr>5. Price Retrieval INDEX-MATCH</vt:lpstr>
      <vt:lpstr>6. Library Text Analysis</vt:lpstr>
      <vt:lpstr>7. Invoice Standardization</vt:lpstr>
      <vt:lpstr>8. Project Deadline Tracker</vt:lpstr>
      <vt:lpstr>9. Employee Service Tenure</vt:lpstr>
      <vt:lpstr>10. Error-Proof Lookup</vt:lpstr>
      <vt:lpstr>11. Salary Analysis IFs</vt:lpstr>
      <vt:lpstr>12. Attendance Risk Analysis</vt:lpstr>
      <vt:lpstr>13. Monthly Expense Review</vt:lpstr>
      <vt:lpstr>14. Regional Sales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Patil</cp:lastModifiedBy>
  <dcterms:created xsi:type="dcterms:W3CDTF">2026-07-29T16:01:01Z</dcterms:created>
  <dcterms:modified xsi:type="dcterms:W3CDTF">2026-07-29T16:20:58Z</dcterms:modified>
</cp:coreProperties>
</file>