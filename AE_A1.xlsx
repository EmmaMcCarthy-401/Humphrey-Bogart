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CA\Assignments\SYMCA\Sem-3\AE\Assignments\"/>
    </mc:Choice>
  </mc:AlternateContent>
  <xr:revisionPtr revIDLastSave="0" documentId="13_ncr:1_{292788AB-5078-4B69-83C4-5BA7C8FE246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1. Sales Exception Monitoring" sheetId="1" r:id="rId1"/>
    <sheet name="2. Overdue Order Dashboard" sheetId="2" r:id="rId2"/>
    <sheet name="3. Leave Application System" sheetId="3" r:id="rId3"/>
    <sheet name="4. Dependent Dropdown System" sheetId="4" r:id="rId4"/>
    <sheet name="5. Admission Data Cleaning" sheetId="5" r:id="rId5"/>
    <sheet name="6. Hospital Patient Analysis" sheetId="6" r:id="rId6"/>
    <sheet name="8. Branch Deposit Comparison" sheetId="7" r:id="rId7"/>
  </sheets>
  <definedNames>
    <definedName name="_xlnm._FilterDatabase" localSheetId="4" hidden="1">'5. Admission Data Cleaning'!$A$7:$G$22</definedName>
    <definedName name="_xlnm._FilterDatabase" localSheetId="5" hidden="1">'6. Hospital Patient Analysis'!$A$7:$I$19</definedName>
    <definedName name="Electronics">'4. Dependent Dropdown System'!$K$8:$K$12</definedName>
    <definedName name="Furniture">'4. Dependent Dropdown System'!$M$8:$M$12</definedName>
    <definedName name="Stationery">'4. Dependent Dropdown System'!$L$8:$L$12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I19" i="6"/>
  <c r="I18" i="6"/>
  <c r="I17" i="6"/>
  <c r="I16" i="6"/>
  <c r="I15" i="6"/>
  <c r="I14" i="6"/>
  <c r="I13" i="6"/>
  <c r="I12" i="6"/>
  <c r="I11" i="6"/>
  <c r="I10" i="6"/>
  <c r="I9" i="6"/>
  <c r="I8" i="6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17" i="4"/>
  <c r="G16" i="4"/>
  <c r="G15" i="4"/>
  <c r="G14" i="4"/>
  <c r="G13" i="4"/>
  <c r="G12" i="4"/>
  <c r="G11" i="4"/>
  <c r="G10" i="4"/>
  <c r="G9" i="4"/>
  <c r="G8" i="4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D20" i="1"/>
  <c r="C20" i="1"/>
  <c r="G19" i="1"/>
  <c r="F19" i="1"/>
  <c r="E19" i="1"/>
  <c r="H19" i="1" s="1"/>
  <c r="G18" i="1"/>
  <c r="F18" i="1"/>
  <c r="E18" i="1"/>
  <c r="H18" i="1" s="1"/>
  <c r="G17" i="1"/>
  <c r="F17" i="1"/>
  <c r="E17" i="1"/>
  <c r="H17" i="1" s="1"/>
  <c r="G16" i="1"/>
  <c r="F16" i="1"/>
  <c r="E16" i="1"/>
  <c r="H16" i="1" s="1"/>
  <c r="G15" i="1"/>
  <c r="F15" i="1"/>
  <c r="E15" i="1"/>
  <c r="H15" i="1" s="1"/>
  <c r="G14" i="1"/>
  <c r="F14" i="1"/>
  <c r="E14" i="1"/>
  <c r="H14" i="1" s="1"/>
  <c r="G13" i="1"/>
  <c r="F13" i="1"/>
  <c r="E13" i="1"/>
  <c r="H13" i="1" s="1"/>
  <c r="G12" i="1"/>
  <c r="F12" i="1"/>
  <c r="E12" i="1"/>
  <c r="H12" i="1" s="1"/>
  <c r="G11" i="1"/>
  <c r="F11" i="1"/>
  <c r="E11" i="1"/>
  <c r="H11" i="1" s="1"/>
  <c r="H10" i="1"/>
  <c r="G10" i="1"/>
  <c r="F10" i="1"/>
  <c r="E10" i="1"/>
  <c r="G9" i="1"/>
  <c r="F9" i="1"/>
  <c r="E9" i="1"/>
  <c r="H9" i="1" s="1"/>
  <c r="G8" i="1"/>
  <c r="F8" i="1"/>
  <c r="E8" i="1"/>
  <c r="H8" i="1" s="1"/>
  <c r="E18" i="7"/>
  <c r="F18" i="7" s="1"/>
  <c r="D18" i="7"/>
  <c r="F17" i="7"/>
  <c r="F16" i="7"/>
  <c r="F15" i="7"/>
  <c r="F14" i="7"/>
  <c r="F13" i="7"/>
  <c r="F12" i="7"/>
  <c r="F10" i="7"/>
  <c r="F9" i="7"/>
  <c r="F8" i="7"/>
  <c r="H17" i="7" l="1"/>
  <c r="G17" i="7"/>
  <c r="H16" i="7"/>
  <c r="G16" i="7"/>
  <c r="H15" i="7"/>
  <c r="G15" i="7"/>
  <c r="H14" i="7"/>
  <c r="G14" i="7"/>
  <c r="G13" i="7"/>
  <c r="H13" i="7"/>
  <c r="H12" i="7"/>
  <c r="G12" i="7"/>
  <c r="H11" i="7"/>
  <c r="G11" i="7"/>
  <c r="H10" i="7"/>
  <c r="G10" i="7"/>
  <c r="H9" i="7"/>
  <c r="G9" i="7"/>
  <c r="H8" i="7"/>
  <c r="G8" i="7"/>
</calcChain>
</file>

<file path=xl/sharedStrings.xml><?xml version="1.0" encoding="utf-8"?>
<sst xmlns="http://schemas.openxmlformats.org/spreadsheetml/2006/main" count="418" uniqueCount="296">
  <si>
    <t>Assignment 8: Bank Branch Monthly Deposit Performance Comparison (India Banking)</t>
  </si>
  <si>
    <t>MANAGERIAL BENEFIT OF THREE-TIER PERFORMANCE FORMATTING:
• Logic Applied:
   - Above 110% of Target (Green): Exceptional deposit mobilization; eligible for performance bonuses.
   - 90% – 110% of Target (Yellow): Standard expected performance; stable operational range.
   - Below 90% of Target (Red): Critical deposit collection deficit; triggers management intervention.
• Managerial Value: Translates complex numerical tables into instant visual heatmaps for executive review.</t>
  </si>
  <si>
    <t>Branch Code</t>
  </si>
  <si>
    <t>Branch Location (City)</t>
  </si>
  <si>
    <t>Region</t>
  </si>
  <si>
    <t>Monthly Deposit Target (₹)</t>
  </si>
  <si>
    <t>Actual Deposit Collected (₹)</t>
  </si>
  <si>
    <t>Achievement %</t>
  </si>
  <si>
    <t>Performance Tier</t>
  </si>
  <si>
    <t>Managerial Action</t>
  </si>
  <si>
    <t>BNK-101</t>
  </si>
  <si>
    <t>Mumbai - Nariman Point</t>
  </si>
  <si>
    <t>Western</t>
  </si>
  <si>
    <t>BNK-102</t>
  </si>
  <si>
    <t>Pune - Camp</t>
  </si>
  <si>
    <t>BNK-103</t>
  </si>
  <si>
    <t>Delhi - Barakhamba Road</t>
  </si>
  <si>
    <t>Northern</t>
  </si>
  <si>
    <t>BNK-104</t>
  </si>
  <si>
    <t>Bengaluru - MG Road</t>
  </si>
  <si>
    <t>Southern</t>
  </si>
  <si>
    <t>BNK-105</t>
  </si>
  <si>
    <t>Ahmedabad - Ashram Road</t>
  </si>
  <si>
    <t>BNK-106</t>
  </si>
  <si>
    <t>Hyderabad - Abids</t>
  </si>
  <si>
    <t>BNK-107</t>
  </si>
  <si>
    <t>Chennai - Anna Salai</t>
  </si>
  <si>
    <t>BNK-108</t>
  </si>
  <si>
    <t>Kolkata - BBD Bagh</t>
  </si>
  <si>
    <t>Eastern</t>
  </si>
  <si>
    <t>BNK-109</t>
  </si>
  <si>
    <t>Mumbai - Bandra-Kurla Complex</t>
  </si>
  <si>
    <t>BNK-110</t>
  </si>
  <si>
    <t>Jaipur - MI Road</t>
  </si>
  <si>
    <t>Total Bank Deposits</t>
  </si>
  <si>
    <t>Assignment 1: Retail Sales Exception &amp; Performance Monitoring (India Operations)</t>
  </si>
  <si>
    <t>MANAGERIAL NOTE ON FORMULA-BASED CONDITIONAL FORMATTING:
• Above-Average Sales (Green): Highlighted using dynamic averages (=C8&gt;AVERAGE($C$8:$C$19)) to spot high-performing branch locations.
• Below 60% of Target (Red Flag): Highlighted using formula (=C8&lt;E8) to immediately flag critical revenue shortfalls.
• Managerial Benefit: Automated formatting enables rapid management exception reporting without manual data inspection.</t>
  </si>
  <si>
    <t>Branch ID</t>
  </si>
  <si>
    <t>Monthly Sales (₹)</t>
  </si>
  <si>
    <t>Monthly Target (₹)</t>
  </si>
  <si>
    <t>60% of Target (₹)</t>
  </si>
  <si>
    <t>% of Target Achieved</t>
  </si>
  <si>
    <t>Above Average?</t>
  </si>
  <si>
    <t>Status Flag</t>
  </si>
  <si>
    <t>BR-101</t>
  </si>
  <si>
    <t>Mumbai - Andheri West</t>
  </si>
  <si>
    <t>BR-102</t>
  </si>
  <si>
    <t>Pune - Shivaji Nagar</t>
  </si>
  <si>
    <t>BR-103</t>
  </si>
  <si>
    <t>Bengaluru - Indiranagar</t>
  </si>
  <si>
    <t>BR-104</t>
  </si>
  <si>
    <t>Delhi - Connaught Place</t>
  </si>
  <si>
    <t>BR-105</t>
  </si>
  <si>
    <t>Hyderabad - Banjara Hills</t>
  </si>
  <si>
    <t>BR-106</t>
  </si>
  <si>
    <t>Chennai - T. Nagar</t>
  </si>
  <si>
    <t>BR-107</t>
  </si>
  <si>
    <t>Ahmedabad - C.G. Road</t>
  </si>
  <si>
    <t>BR-108</t>
  </si>
  <si>
    <t>Kolkata - Salt Lake</t>
  </si>
  <si>
    <t>BR-109</t>
  </si>
  <si>
    <t>Surat - Adajan</t>
  </si>
  <si>
    <t>BR-110</t>
  </si>
  <si>
    <t>Jaipur - Malviya Nagar</t>
  </si>
  <si>
    <t>BR-111</t>
  </si>
  <si>
    <t>Nagpur - Dharampeth</t>
  </si>
  <si>
    <t>BR-112</t>
  </si>
  <si>
    <t>Indore - Vijay Nagar</t>
  </si>
  <si>
    <t>Branch Average</t>
  </si>
  <si>
    <t>Assignment 2: Overdue Order Tracking &amp; Fulfillment Dashboard (India Logistics)</t>
  </si>
  <si>
    <t>CASE STUDY &amp; VISUAL FORMAT PROPOSAL:
• Automated Highlight: Any order where Order Status is 'Pending' and Due Date is earlier than Reference Date is highlighted RED automatically.
• Three-Tier Visual Classification:
   - 'Completed': Soft Green fill indicating successful delivery.
   - 'Pending': Yellow fill indicating work-in-progress within schedule.
   - 'Delayed' / Overdue: High-contrast Red fill &amp; bold font to escalate priority to warehouse managers.</t>
  </si>
  <si>
    <t>Reference Date (Today):</t>
  </si>
  <si>
    <t>Order ID</t>
  </si>
  <si>
    <t>Customer Name</t>
  </si>
  <si>
    <t>Order Date</t>
  </si>
  <si>
    <t>Due Date</t>
  </si>
  <si>
    <t>Order Status</t>
  </si>
  <si>
    <t>Delivery Date</t>
  </si>
  <si>
    <t>Delivery Status</t>
  </si>
  <si>
    <t>Days Overdue / Lead Time</t>
  </si>
  <si>
    <t>Priority Action</t>
  </si>
  <si>
    <t>ORD-1001</t>
  </si>
  <si>
    <t>Aarav Sharma</t>
  </si>
  <si>
    <t>Completed</t>
  </si>
  <si>
    <t>Delivered On Time</t>
  </si>
  <si>
    <t>ORD-1002</t>
  </si>
  <si>
    <t>Priya Nair</t>
  </si>
  <si>
    <t>Delayed Delivery</t>
  </si>
  <si>
    <t>ORD-1003</t>
  </si>
  <si>
    <t>Rohan Mehta</t>
  </si>
  <si>
    <t>Pending</t>
  </si>
  <si>
    <t>-</t>
  </si>
  <si>
    <t>In Transit - Mumbai Hub</t>
  </si>
  <si>
    <t>ORD-1004</t>
  </si>
  <si>
    <t>Ananya Iyer</t>
  </si>
  <si>
    <t>Processing - Overdue</t>
  </si>
  <si>
    <t>ORD-1005</t>
  </si>
  <si>
    <t>Vikram Patel</t>
  </si>
  <si>
    <t>Warehouse - Overdue</t>
  </si>
  <si>
    <t>ORD-1006</t>
  </si>
  <si>
    <t>Sneha Kulkarni</t>
  </si>
  <si>
    <t>Processing - Pune FC</t>
  </si>
  <si>
    <t>ORD-1007</t>
  </si>
  <si>
    <t>Aditya Deshmukh</t>
  </si>
  <si>
    <t>Dispatch - Overdue</t>
  </si>
  <si>
    <t>ORD-1008</t>
  </si>
  <si>
    <t>Pooja Hegde</t>
  </si>
  <si>
    <t>Order Received</t>
  </si>
  <si>
    <t>ORD-1009</t>
  </si>
  <si>
    <t>Siddharth Rao</t>
  </si>
  <si>
    <t>ORD-1010</t>
  </si>
  <si>
    <t>Neelam Joshi</t>
  </si>
  <si>
    <t>ORD-1011</t>
  </si>
  <si>
    <t>Karthik Aryan</t>
  </si>
  <si>
    <t>In Transit - Delhi Hub</t>
  </si>
  <si>
    <t>ORD-1012</t>
  </si>
  <si>
    <t>Divya Pillai</t>
  </si>
  <si>
    <t>Assignment 3: HR Employee Leave Application &amp; Validation System (Indian Financial Year)</t>
  </si>
  <si>
    <t>HOW DATA VALIDATIONS PREVENT ERRORS &amp; ENSURE COMPLIANCE:
• Date Bounds (Col D &amp; E): Validated to accept dates only within FY 2026-27 (2026-04-01 to 2027-03-31), preventing cross-year clerical errors.
• Standardized Dropdown (Col F): Dropdown list ensures no typos in Indian statutory Leave Types (Casual Leave, Sick Leave, Earned Leave).
• Balance Checking (Col I &amp; J): Dynamic formula checks whether Leave Duration exceeds Available Balance, flagging 'EXCEEDED BALANCE' if invalid.</t>
  </si>
  <si>
    <t>Emp ID</t>
  </si>
  <si>
    <t>Employee Name</t>
  </si>
  <si>
    <t>Department</t>
  </si>
  <si>
    <t>Start Date</t>
  </si>
  <si>
    <t>End Date</t>
  </si>
  <si>
    <t>Leave Type</t>
  </si>
  <si>
    <t>Requested Days</t>
  </si>
  <si>
    <t>Available Balance</t>
  </si>
  <si>
    <t>Validation Status</t>
  </si>
  <si>
    <t>EMP-201</t>
  </si>
  <si>
    <t>Arjun Verma</t>
  </si>
  <si>
    <t>Finance</t>
  </si>
  <si>
    <t>Casual Leave</t>
  </si>
  <si>
    <t>EMP-202</t>
  </si>
  <si>
    <t>Bhavna Kulkarni</t>
  </si>
  <si>
    <t>Marketing</t>
  </si>
  <si>
    <t>Earned Leave</t>
  </si>
  <si>
    <t>EMP-203</t>
  </si>
  <si>
    <t>Chirag Patel</t>
  </si>
  <si>
    <t>IT</t>
  </si>
  <si>
    <t>EMP-204</t>
  </si>
  <si>
    <t>Deepika Iyer</t>
  </si>
  <si>
    <t>HR</t>
  </si>
  <si>
    <t>Sick Leave</t>
  </si>
  <si>
    <t>EMP-205</t>
  </si>
  <si>
    <t>Eshwar Rao</t>
  </si>
  <si>
    <t>Operations</t>
  </si>
  <si>
    <t>EMP-206</t>
  </si>
  <si>
    <t>Farah Khan</t>
  </si>
  <si>
    <t>Sales</t>
  </si>
  <si>
    <t>EMP-207</t>
  </si>
  <si>
    <t>Gaurav Deshmukh</t>
  </si>
  <si>
    <t>EMP-208</t>
  </si>
  <si>
    <t>Harshita Sharma</t>
  </si>
  <si>
    <t>EMP-209</t>
  </si>
  <si>
    <t>Ishaan Malhotra</t>
  </si>
  <si>
    <t>Research</t>
  </si>
  <si>
    <t>EMP-210</t>
  </si>
  <si>
    <t>Janhvi Kapoor</t>
  </si>
  <si>
    <t>Assignment 4: Product Category–Subcategory Dependent Dropdown System</t>
  </si>
  <si>
    <t>HOW DEPENDENT DROPDOWNS IMPROVE SPEED &amp; ACCURACY:
• Mechanism: Using Excel Named Ranges ('Electronics', 'Stationery', 'Furniture') and the INDIRECT() function in Data Validation, Subcategory choices dynamically filter based on the Category selected.
• Speed Benefit: Prevents scrolling through hundreds of irrelevant subcategories during high-volume Indian wholesale order entry.
• Accuracy Benefit: Eliminates invalid category-subcategory pairings (e.g., prevents entering 'Laptops' under 'Furniture').</t>
  </si>
  <si>
    <t>Line ID</t>
  </si>
  <si>
    <t>Product Category</t>
  </si>
  <si>
    <t>Product Subcategory</t>
  </si>
  <si>
    <t>Item Code</t>
  </si>
  <si>
    <t>Quantity</t>
  </si>
  <si>
    <t>Unit Price (₹)</t>
  </si>
  <si>
    <t>Total Line Value (₹)</t>
  </si>
  <si>
    <t>Category List</t>
  </si>
  <si>
    <t>Electronics</t>
  </si>
  <si>
    <t>Stationery</t>
  </si>
  <si>
    <t>Furniture</t>
  </si>
  <si>
    <t>LINE-01</t>
  </si>
  <si>
    <t>Laptops</t>
  </si>
  <si>
    <t>EL-1001</t>
  </si>
  <si>
    <t>Notebooks</t>
  </si>
  <si>
    <t>Ergonomic Chairs</t>
  </si>
  <si>
    <t>LINE-02</t>
  </si>
  <si>
    <t>ST-2001</t>
  </si>
  <si>
    <t>Smartphones</t>
  </si>
  <si>
    <t>Pens &amp; Pencils</t>
  </si>
  <si>
    <t>Office Desks</t>
  </si>
  <si>
    <t>LINE-03</t>
  </si>
  <si>
    <t>FR-3001</t>
  </si>
  <si>
    <t>Monitors</t>
  </si>
  <si>
    <t>Files &amp; Folders</t>
  </si>
  <si>
    <t>Filing Cabinets</t>
  </si>
  <si>
    <t>LINE-04</t>
  </si>
  <si>
    <t>EL-1003</t>
  </si>
  <si>
    <t>Printers</t>
  </si>
  <si>
    <t>Desk Organizers</t>
  </si>
  <si>
    <t>Bookshelves</t>
  </si>
  <si>
    <t>LINE-05</t>
  </si>
  <si>
    <t>ST-2002</t>
  </si>
  <si>
    <t>Audio &amp; Headphones</t>
  </si>
  <si>
    <t>Paper Reams</t>
  </si>
  <si>
    <t>Conference Tables</t>
  </si>
  <si>
    <t>LINE-06</t>
  </si>
  <si>
    <t>FR-3002</t>
  </si>
  <si>
    <t>LINE-07</t>
  </si>
  <si>
    <t>EL-1004</t>
  </si>
  <si>
    <t>LINE-08</t>
  </si>
  <si>
    <t>ST-2005</t>
  </si>
  <si>
    <t>LINE-09</t>
  </si>
  <si>
    <t>FR-3003</t>
  </si>
  <si>
    <t>LINE-10</t>
  </si>
  <si>
    <t>EL-1005</t>
  </si>
  <si>
    <t>Assignment 5: Student Admission Data Cleaning, Multi-Level Sorting &amp; Filtering (India Admissions)</t>
  </si>
  <si>
    <t>MANAGING &amp; CLEANING LARGE ADMISSION DATASETS (CASE STUDY METHODOLOGY):
• Multi-Level Sorting: Sorted hierarchically by (1) Program (A-Z), (2) City (A-Z), and (3) Admission Score (Descending) to group candidates logically.
• Dynamic Criteria Filtering: Uses Excel Filter criteria (City in ['Mumbai', 'Pune', 'Bengaluru'] AND Score &gt;= 80) to shortlist top-tier merit candidates.
• Data Cleaning Steps: Stripped leading/trailing spaces using TRIM(), standardized text formatting, and validated numeric score integrity.</t>
  </si>
  <si>
    <t>Applicant ID</t>
  </si>
  <si>
    <t>Student Name</t>
  </si>
  <si>
    <t>Program</t>
  </si>
  <si>
    <t>City</t>
  </si>
  <si>
    <t>Admission Score</t>
  </si>
  <si>
    <t>Merit Rank</t>
  </si>
  <si>
    <t>Filter Status (Score &gt;= 80)</t>
  </si>
  <si>
    <t>APP-1001</t>
  </si>
  <si>
    <t>B.Tech Computer Science</t>
  </si>
  <si>
    <t>Bengaluru</t>
  </si>
  <si>
    <t>APP-1002</t>
  </si>
  <si>
    <t>Aditi Rao</t>
  </si>
  <si>
    <t>APP-1003</t>
  </si>
  <si>
    <t>APP-1004</t>
  </si>
  <si>
    <t>Sanya Mirza</t>
  </si>
  <si>
    <t>Mumbai</t>
  </si>
  <si>
    <t>APP-1005</t>
  </si>
  <si>
    <t>APP-1006</t>
  </si>
  <si>
    <t>Neha Kulkarni</t>
  </si>
  <si>
    <t>Pune</t>
  </si>
  <si>
    <t>APP-1007</t>
  </si>
  <si>
    <t>Karan Joshi</t>
  </si>
  <si>
    <t>APP-1008</t>
  </si>
  <si>
    <t>APP-1009</t>
  </si>
  <si>
    <t>Amitabh Varma</t>
  </si>
  <si>
    <t>MBA Enterprise</t>
  </si>
  <si>
    <t>APP-1010</t>
  </si>
  <si>
    <t>Sneha Gupta</t>
  </si>
  <si>
    <t>APP-1011</t>
  </si>
  <si>
    <t>Rahul Deshmukh</t>
  </si>
  <si>
    <t>APP-1012</t>
  </si>
  <si>
    <t>APP-1013</t>
  </si>
  <si>
    <t>Manish Malhotra</t>
  </si>
  <si>
    <t>APP-1014</t>
  </si>
  <si>
    <t>Ananya Pandey</t>
  </si>
  <si>
    <t>APP-1015</t>
  </si>
  <si>
    <t>Assignment 6: Large Dataset Navigation, Deduplication &amp; Billing Analysis (Indian Hospitals)</t>
  </si>
  <si>
    <t>EXCEL ESSENTIALS FOR LARGE HOSPITAL DATASETS (USABILITY NOTE):
• Freeze Panes: Cell C8 is frozen so that Patient IDs &amp; Names (Cols A-B) and Column Headers (Row 7) stay visible during horizontal/vertical scrolling.
• Deduplication Process: Using Data -&gt; Remove Duplicates on Patient ID + Visit Date ensures clean billing records without double-counting.
• Quick Unpaid Filter: AutoFilter allows immediate isolation of 'Unpaid' status invoices for accounts receivable follow-up.</t>
  </si>
  <si>
    <t>Patient ID</t>
  </si>
  <si>
    <t>Patient Name</t>
  </si>
  <si>
    <t>Doctor Assigned</t>
  </si>
  <si>
    <t>Date of Visit</t>
  </si>
  <si>
    <t>Billing Amount (₹)</t>
  </si>
  <si>
    <t>Insurance Claim</t>
  </si>
  <si>
    <t>Payment Status</t>
  </si>
  <si>
    <t>Action Required</t>
  </si>
  <si>
    <t>PAT-5001</t>
  </si>
  <si>
    <t>Rajesh Khanna</t>
  </si>
  <si>
    <t>Cardiology</t>
  </si>
  <si>
    <t>Dr. Arvind Sharma</t>
  </si>
  <si>
    <t>Yes</t>
  </si>
  <si>
    <t>Paid</t>
  </si>
  <si>
    <t>PAT-5002</t>
  </si>
  <si>
    <t>Meenakshi Sundaram</t>
  </si>
  <si>
    <t>Neurology</t>
  </si>
  <si>
    <t>Dr. Bhargav Verma</t>
  </si>
  <si>
    <t>Unpaid</t>
  </si>
  <si>
    <t>PAT-5003</t>
  </si>
  <si>
    <t>Suresh Gokhale</t>
  </si>
  <si>
    <t>Orthopedics</t>
  </si>
  <si>
    <t>Dr. Chirag Patel</t>
  </si>
  <si>
    <t>No</t>
  </si>
  <si>
    <t>PAT-5004</t>
  </si>
  <si>
    <t>Lata Mangeshkar</t>
  </si>
  <si>
    <t>Pediatrics</t>
  </si>
  <si>
    <t>Dr. Deepa Iyer</t>
  </si>
  <si>
    <t>PAT-5005</t>
  </si>
  <si>
    <t>Manoj Bajpayee</t>
  </si>
  <si>
    <t>Oncology</t>
  </si>
  <si>
    <t>Dr. Eknath Rao</t>
  </si>
  <si>
    <t>PAT-5006</t>
  </si>
  <si>
    <t>Savita Bhave</t>
  </si>
  <si>
    <t>PAT-5007</t>
  </si>
  <si>
    <t>Rohan Gavaskar</t>
  </si>
  <si>
    <t>General Surgery</t>
  </si>
  <si>
    <t>Dr. Farooq Khan</t>
  </si>
  <si>
    <t>PAT-5008</t>
  </si>
  <si>
    <t>Esha Gupta</t>
  </si>
  <si>
    <t>Dermatology</t>
  </si>
  <si>
    <t>Dr. Girish Nair</t>
  </si>
  <si>
    <t>PAT-5009</t>
  </si>
  <si>
    <t>Vidyut Jammwal</t>
  </si>
  <si>
    <t>PAT-5010</t>
  </si>
  <si>
    <t>Juhi Chawla</t>
  </si>
  <si>
    <t>PAT-5011</t>
  </si>
  <si>
    <t>Devendra Fadnavis</t>
  </si>
  <si>
    <t>PAT-5012</t>
  </si>
  <si>
    <t>Sunita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</si>
</sst>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yyyy\-mm\-dd"/>
    <numFmt numFmtId="167" formatCode="\₹#,##0.0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0" fontId="0" fillId="0" borderId="2" xfId="0" applyBorder="1"/>
    <xf numFmtId="0" fontId="5" fillId="0" borderId="2" xfId="0" applyFont="1" applyBorder="1"/>
    <xf numFmtId="164" fontId="5" fillId="4" borderId="2" xfId="0" applyNumberFormat="1" applyFont="1" applyFill="1" applyBorder="1"/>
    <xf numFmtId="0" fontId="5" fillId="0" borderId="0" xfId="0" applyFont="1" applyAlignment="1">
      <alignment horizontal="right"/>
    </xf>
    <xf numFmtId="166" fontId="5" fillId="4" borderId="0" xfId="0" applyNumberFormat="1" applyFont="1" applyFill="1"/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5" fillId="4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9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Branch Deposit Performance: Target vs Actual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Branch Deposit Comparison'!$D$7</c:f>
              <c:strCache>
                <c:ptCount val="1"/>
                <c:pt idx="0">
                  <c:v>Monthly Deposit Target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'8. Branch Deposit Comparison'!$B$8:$B$17</c:f>
              <c:strCache>
                <c:ptCount val="10"/>
                <c:pt idx="0">
                  <c:v>Mumbai - Nariman Point</c:v>
                </c:pt>
                <c:pt idx="1">
                  <c:v>Pune - Camp</c:v>
                </c:pt>
                <c:pt idx="2">
                  <c:v>Delhi - Barakhamba Road</c:v>
                </c:pt>
                <c:pt idx="3">
                  <c:v>Bengaluru - MG Road</c:v>
                </c:pt>
                <c:pt idx="4">
                  <c:v>Ahmedabad - Ashram Road</c:v>
                </c:pt>
                <c:pt idx="5">
                  <c:v>Hyderabad - Abids</c:v>
                </c:pt>
                <c:pt idx="6">
                  <c:v>Chennai - Anna Salai</c:v>
                </c:pt>
                <c:pt idx="7">
                  <c:v>Kolkata - BBD Bagh</c:v>
                </c:pt>
                <c:pt idx="8">
                  <c:v>Mumbai - Bandra-Kurla Complex</c:v>
                </c:pt>
                <c:pt idx="9">
                  <c:v>Jaipur - MI Road</c:v>
                </c:pt>
              </c:strCache>
            </c:strRef>
          </c:cat>
          <c:val>
            <c:numRef>
              <c:f>'8. Branch Deposit Comparison'!$D$8:$D$17</c:f>
              <c:numCache>
                <c:formatCode>\₹#,##0</c:formatCode>
                <c:ptCount val="10"/>
                <c:pt idx="0">
                  <c:v>50000000</c:v>
                </c:pt>
                <c:pt idx="1">
                  <c:v>45000000</c:v>
                </c:pt>
                <c:pt idx="2">
                  <c:v>30000000</c:v>
                </c:pt>
                <c:pt idx="3">
                  <c:v>35000000</c:v>
                </c:pt>
                <c:pt idx="4">
                  <c:v>40000000</c:v>
                </c:pt>
                <c:pt idx="5">
                  <c:v>25000000</c:v>
                </c:pt>
                <c:pt idx="6">
                  <c:v>38000000</c:v>
                </c:pt>
                <c:pt idx="7">
                  <c:v>28000000</c:v>
                </c:pt>
                <c:pt idx="8">
                  <c:v>60000000</c:v>
                </c:pt>
                <c:pt idx="9">
                  <c:v>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2-4E27-80F2-E256D62FAE4A}"/>
            </c:ext>
          </c:extLst>
        </c:ser>
        <c:ser>
          <c:idx val="1"/>
          <c:order val="1"/>
          <c:tx>
            <c:strRef>
              <c:f>'8. Branch Deposit Comparison'!$E$7</c:f>
              <c:strCache>
                <c:ptCount val="1"/>
                <c:pt idx="0">
                  <c:v>Actual Deposit Collected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'8. Branch Deposit Comparison'!$B$8:$B$17</c:f>
              <c:strCache>
                <c:ptCount val="10"/>
                <c:pt idx="0">
                  <c:v>Mumbai - Nariman Point</c:v>
                </c:pt>
                <c:pt idx="1">
                  <c:v>Pune - Camp</c:v>
                </c:pt>
                <c:pt idx="2">
                  <c:v>Delhi - Barakhamba Road</c:v>
                </c:pt>
                <c:pt idx="3">
                  <c:v>Bengaluru - MG Road</c:v>
                </c:pt>
                <c:pt idx="4">
                  <c:v>Ahmedabad - Ashram Road</c:v>
                </c:pt>
                <c:pt idx="5">
                  <c:v>Hyderabad - Abids</c:v>
                </c:pt>
                <c:pt idx="6">
                  <c:v>Chennai - Anna Salai</c:v>
                </c:pt>
                <c:pt idx="7">
                  <c:v>Kolkata - BBD Bagh</c:v>
                </c:pt>
                <c:pt idx="8">
                  <c:v>Mumbai - Bandra-Kurla Complex</c:v>
                </c:pt>
                <c:pt idx="9">
                  <c:v>Jaipur - MI Road</c:v>
                </c:pt>
              </c:strCache>
            </c:strRef>
          </c:cat>
          <c:val>
            <c:numRef>
              <c:f>'8. Branch Deposit Comparison'!$E$8:$E$17</c:f>
              <c:numCache>
                <c:formatCode>\₹#,##0</c:formatCode>
                <c:ptCount val="10"/>
                <c:pt idx="0">
                  <c:v>58000000</c:v>
                </c:pt>
                <c:pt idx="1">
                  <c:v>51000000</c:v>
                </c:pt>
                <c:pt idx="2">
                  <c:v>26000000</c:v>
                </c:pt>
                <c:pt idx="3">
                  <c:v>35500000</c:v>
                </c:pt>
                <c:pt idx="4">
                  <c:v>34000000</c:v>
                </c:pt>
                <c:pt idx="5">
                  <c:v>28000000</c:v>
                </c:pt>
                <c:pt idx="6">
                  <c:v>43000000</c:v>
                </c:pt>
                <c:pt idx="7">
                  <c:v>24000000</c:v>
                </c:pt>
                <c:pt idx="8">
                  <c:v>69000000</c:v>
                </c:pt>
                <c:pt idx="9">
                  <c:v>21500000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2-4E27-80F2-E256D62F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Branch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Deposit Amount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C23" sqref="C23"/>
    </sheetView>
  </sheetViews>
  <sheetFormatPr defaultRowHeight="15" x14ac:dyDescent="0.25"/>
  <cols>
    <col min="1" max="1" width="14" customWidth="1"/>
    <col min="2" max="2" width="28" customWidth="1"/>
    <col min="3" max="5" width="18" customWidth="1"/>
    <col min="6" max="6" width="20" customWidth="1"/>
    <col min="7" max="7" width="16" customWidth="1"/>
    <col min="8" max="8" width="22" customWidth="1"/>
  </cols>
  <sheetData>
    <row r="1" spans="1:8" ht="21" customHeight="1" x14ac:dyDescent="0.35">
      <c r="A1" s="1" t="s">
        <v>35</v>
      </c>
    </row>
    <row r="3" spans="1:8" x14ac:dyDescent="0.25">
      <c r="A3" s="21" t="s">
        <v>36</v>
      </c>
      <c r="B3" s="22"/>
      <c r="C3" s="22"/>
      <c r="D3" s="22"/>
      <c r="E3" s="22"/>
      <c r="F3" s="22"/>
      <c r="G3" s="22"/>
      <c r="H3" s="23"/>
    </row>
    <row r="4" spans="1:8" x14ac:dyDescent="0.25">
      <c r="A4" s="24"/>
      <c r="B4" s="25"/>
      <c r="C4" s="25"/>
      <c r="D4" s="25"/>
      <c r="E4" s="25"/>
      <c r="F4" s="25"/>
      <c r="G4" s="25"/>
      <c r="H4" s="26"/>
    </row>
    <row r="5" spans="1:8" ht="26.25" customHeight="1" x14ac:dyDescent="0.25">
      <c r="A5" s="27"/>
      <c r="B5" s="28"/>
      <c r="C5" s="28"/>
      <c r="D5" s="28"/>
      <c r="E5" s="28"/>
      <c r="F5" s="28"/>
      <c r="G5" s="28"/>
      <c r="H5" s="29"/>
    </row>
    <row r="7" spans="1:8" x14ac:dyDescent="0.25">
      <c r="A7" s="3" t="s">
        <v>37</v>
      </c>
      <c r="B7" s="3" t="s">
        <v>3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 spans="1:8" x14ac:dyDescent="0.25">
      <c r="A8" s="4" t="s">
        <v>44</v>
      </c>
      <c r="B8" s="5" t="s">
        <v>45</v>
      </c>
      <c r="C8" s="6">
        <v>4500000</v>
      </c>
      <c r="D8" s="6">
        <v>4000000</v>
      </c>
      <c r="E8" s="6">
        <f t="shared" ref="E8:E19" si="0">D8*0.6</f>
        <v>2400000</v>
      </c>
      <c r="F8" s="7">
        <f t="shared" ref="F8:F19" si="1">C8/D8</f>
        <v>1.125</v>
      </c>
      <c r="G8" s="4" t="str">
        <f t="shared" ref="G8:G19" si="2">IF(C8&gt;AVERAGE($C$8:$C$19),"Yes","No")</f>
        <v>Yes</v>
      </c>
      <c r="H8" s="4" t="str">
        <f t="shared" ref="H8:H19" si="3">IF(C8&lt;E8,"CRITICAL SHORTFALL", IF(C8&gt;=D8,"Target Met","Monitoring"))</f>
        <v>Target Met</v>
      </c>
    </row>
    <row r="9" spans="1:8" x14ac:dyDescent="0.25">
      <c r="A9" s="4" t="s">
        <v>46</v>
      </c>
      <c r="B9" s="5" t="s">
        <v>47</v>
      </c>
      <c r="C9" s="6">
        <v>2800000</v>
      </c>
      <c r="D9" s="6">
        <v>3000000</v>
      </c>
      <c r="E9" s="6">
        <f t="shared" si="0"/>
        <v>1800000</v>
      </c>
      <c r="F9" s="7">
        <f t="shared" si="1"/>
        <v>0.93333333333333335</v>
      </c>
      <c r="G9" s="4" t="str">
        <f t="shared" si="2"/>
        <v>No</v>
      </c>
      <c r="H9" s="4" t="str">
        <f t="shared" si="3"/>
        <v>Monitoring</v>
      </c>
    </row>
    <row r="10" spans="1:8" x14ac:dyDescent="0.25">
      <c r="A10" s="4" t="s">
        <v>48</v>
      </c>
      <c r="B10" s="5" t="s">
        <v>49</v>
      </c>
      <c r="C10" s="6">
        <v>4800000</v>
      </c>
      <c r="D10" s="6">
        <v>4200000</v>
      </c>
      <c r="E10" s="6">
        <f t="shared" si="0"/>
        <v>2520000</v>
      </c>
      <c r="F10" s="7">
        <f t="shared" si="1"/>
        <v>1.1428571428571428</v>
      </c>
      <c r="G10" s="4" t="str">
        <f t="shared" si="2"/>
        <v>Yes</v>
      </c>
      <c r="H10" s="4" t="str">
        <f t="shared" si="3"/>
        <v>Target Met</v>
      </c>
    </row>
    <row r="11" spans="1:8" x14ac:dyDescent="0.25">
      <c r="A11" s="4" t="s">
        <v>50</v>
      </c>
      <c r="B11" s="5" t="s">
        <v>51</v>
      </c>
      <c r="C11" s="6">
        <v>4100000</v>
      </c>
      <c r="D11" s="6">
        <v>4500000</v>
      </c>
      <c r="E11" s="6">
        <f t="shared" si="0"/>
        <v>2700000</v>
      </c>
      <c r="F11" s="7">
        <f t="shared" si="1"/>
        <v>0.91111111111111109</v>
      </c>
      <c r="G11" s="4" t="str">
        <f t="shared" si="2"/>
        <v>Yes</v>
      </c>
      <c r="H11" s="4" t="str">
        <f t="shared" si="3"/>
        <v>Monitoring</v>
      </c>
    </row>
    <row r="12" spans="1:8" x14ac:dyDescent="0.25">
      <c r="A12" s="4" t="s">
        <v>52</v>
      </c>
      <c r="B12" s="5" t="s">
        <v>53</v>
      </c>
      <c r="C12" s="6">
        <v>3600000</v>
      </c>
      <c r="D12" s="6">
        <v>3500000</v>
      </c>
      <c r="E12" s="6">
        <f t="shared" si="0"/>
        <v>2100000</v>
      </c>
      <c r="F12" s="7">
        <f t="shared" si="1"/>
        <v>1.0285714285714285</v>
      </c>
      <c r="G12" s="4" t="str">
        <f t="shared" si="2"/>
        <v>Yes</v>
      </c>
      <c r="H12" s="4" t="str">
        <f t="shared" si="3"/>
        <v>Target Met</v>
      </c>
    </row>
    <row r="13" spans="1:8" x14ac:dyDescent="0.25">
      <c r="A13" s="4" t="s">
        <v>54</v>
      </c>
      <c r="B13" s="5" t="s">
        <v>55</v>
      </c>
      <c r="C13" s="6">
        <v>3200000</v>
      </c>
      <c r="D13" s="6">
        <v>3500000</v>
      </c>
      <c r="E13" s="6">
        <f t="shared" si="0"/>
        <v>2100000</v>
      </c>
      <c r="F13" s="7">
        <f t="shared" si="1"/>
        <v>0.91428571428571426</v>
      </c>
      <c r="G13" s="4" t="str">
        <f t="shared" si="2"/>
        <v>Yes</v>
      </c>
      <c r="H13" s="4" t="str">
        <f t="shared" si="3"/>
        <v>Monitoring</v>
      </c>
    </row>
    <row r="14" spans="1:8" x14ac:dyDescent="0.25">
      <c r="A14" s="4" t="s">
        <v>56</v>
      </c>
      <c r="B14" s="5" t="s">
        <v>57</v>
      </c>
      <c r="C14" s="6">
        <v>2100000</v>
      </c>
      <c r="D14" s="6">
        <v>3000000</v>
      </c>
      <c r="E14" s="6">
        <f t="shared" si="0"/>
        <v>1800000</v>
      </c>
      <c r="F14" s="7">
        <f t="shared" si="1"/>
        <v>0.7</v>
      </c>
      <c r="G14" s="4" t="str">
        <f t="shared" si="2"/>
        <v>No</v>
      </c>
      <c r="H14" s="4" t="str">
        <f t="shared" si="3"/>
        <v>Monitoring</v>
      </c>
    </row>
    <row r="15" spans="1:8" x14ac:dyDescent="0.25">
      <c r="A15" s="4" t="s">
        <v>58</v>
      </c>
      <c r="B15" s="5" t="s">
        <v>59</v>
      </c>
      <c r="C15" s="6">
        <v>2900000</v>
      </c>
      <c r="D15" s="6">
        <v>3200000</v>
      </c>
      <c r="E15" s="6">
        <f t="shared" si="0"/>
        <v>1920000</v>
      </c>
      <c r="F15" s="7">
        <f t="shared" si="1"/>
        <v>0.90625</v>
      </c>
      <c r="G15" s="4" t="str">
        <f t="shared" si="2"/>
        <v>No</v>
      </c>
      <c r="H15" s="4" t="str">
        <f t="shared" si="3"/>
        <v>Monitoring</v>
      </c>
    </row>
    <row r="16" spans="1:8" x14ac:dyDescent="0.25">
      <c r="A16" s="4" t="s">
        <v>60</v>
      </c>
      <c r="B16" s="5" t="s">
        <v>61</v>
      </c>
      <c r="C16" s="6">
        <v>1800000</v>
      </c>
      <c r="D16" s="6">
        <v>3200000</v>
      </c>
      <c r="E16" s="6">
        <f t="shared" si="0"/>
        <v>1920000</v>
      </c>
      <c r="F16" s="7">
        <f t="shared" si="1"/>
        <v>0.5625</v>
      </c>
      <c r="G16" s="4" t="str">
        <f t="shared" si="2"/>
        <v>No</v>
      </c>
      <c r="H16" s="4" t="str">
        <f t="shared" si="3"/>
        <v>CRITICAL SHORTFALL</v>
      </c>
    </row>
    <row r="17" spans="1:8" x14ac:dyDescent="0.25">
      <c r="A17" s="4" t="s">
        <v>62</v>
      </c>
      <c r="B17" s="5" t="s">
        <v>63</v>
      </c>
      <c r="C17" s="6">
        <v>2400000</v>
      </c>
      <c r="D17" s="6">
        <v>2600000</v>
      </c>
      <c r="E17" s="6">
        <f t="shared" si="0"/>
        <v>1560000</v>
      </c>
      <c r="F17" s="7">
        <f t="shared" si="1"/>
        <v>0.92307692307692313</v>
      </c>
      <c r="G17" s="4" t="str">
        <f t="shared" si="2"/>
        <v>No</v>
      </c>
      <c r="H17" s="4" t="str">
        <f t="shared" si="3"/>
        <v>Monitoring</v>
      </c>
    </row>
    <row r="18" spans="1:8" x14ac:dyDescent="0.25">
      <c r="A18" s="4" t="s">
        <v>64</v>
      </c>
      <c r="B18" s="5" t="s">
        <v>65</v>
      </c>
      <c r="C18" s="6">
        <v>1600000</v>
      </c>
      <c r="D18" s="6">
        <v>3000000</v>
      </c>
      <c r="E18" s="6">
        <f t="shared" si="0"/>
        <v>1800000</v>
      </c>
      <c r="F18" s="7">
        <f t="shared" si="1"/>
        <v>0.53333333333333333</v>
      </c>
      <c r="G18" s="4" t="str">
        <f t="shared" si="2"/>
        <v>No</v>
      </c>
      <c r="H18" s="4" t="str">
        <f t="shared" si="3"/>
        <v>CRITICAL SHORTFALL</v>
      </c>
    </row>
    <row r="19" spans="1:8" x14ac:dyDescent="0.25">
      <c r="A19" s="4" t="s">
        <v>66</v>
      </c>
      <c r="B19" s="5" t="s">
        <v>67</v>
      </c>
      <c r="C19" s="6">
        <v>2750000</v>
      </c>
      <c r="D19" s="6">
        <v>2800000</v>
      </c>
      <c r="E19" s="6">
        <f t="shared" si="0"/>
        <v>1680000</v>
      </c>
      <c r="F19" s="7">
        <f t="shared" si="1"/>
        <v>0.9821428571428571</v>
      </c>
      <c r="G19" s="4" t="str">
        <f t="shared" si="2"/>
        <v>No</v>
      </c>
      <c r="H19" s="4" t="str">
        <f t="shared" si="3"/>
        <v>Monitoring</v>
      </c>
    </row>
    <row r="20" spans="1:8" x14ac:dyDescent="0.25">
      <c r="A20" s="8"/>
      <c r="B20" s="9" t="s">
        <v>68</v>
      </c>
      <c r="C20" s="10">
        <f>AVERAGE(C8:C19)</f>
        <v>3045833.3333333335</v>
      </c>
      <c r="D20" s="10">
        <f>AVERAGE(D8:D19)</f>
        <v>3375000</v>
      </c>
      <c r="E20" s="8"/>
      <c r="F20" s="8"/>
      <c r="G20" s="8"/>
      <c r="H20" s="8"/>
    </row>
  </sheetData>
  <mergeCells count="1">
    <mergeCell ref="A3:H5"/>
  </mergeCells>
  <conditionalFormatting sqref="C8:C19">
    <cfRule type="expression" dxfId="18" priority="1">
      <formula>C8&gt;AVERAGE($C$8:$C$19)</formula>
    </cfRule>
    <cfRule type="expression" dxfId="17" priority="2">
      <formula>C8&lt;E8</formula>
    </cfRule>
  </conditionalFormatting>
  <conditionalFormatting sqref="H8:H19">
    <cfRule type="expression" dxfId="16" priority="3">
      <formula>$H8="CRITICAL SHORTFALL"</formula>
    </cfRule>
    <cfRule type="expression" dxfId="15" priority="4">
      <formula>$H8="Target Met"</formula>
    </cfRule>
    <cfRule type="expression" dxfId="14" priority="5">
      <formula>$H8="Monitoring"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/>
  </sheetViews>
  <sheetFormatPr defaultRowHeight="15" x14ac:dyDescent="0.25"/>
  <cols>
    <col min="1" max="1" width="14" customWidth="1"/>
    <col min="2" max="2" width="22" customWidth="1"/>
    <col min="3" max="4" width="15" customWidth="1"/>
    <col min="5" max="5" width="16" customWidth="1"/>
    <col min="6" max="6" width="15" customWidth="1"/>
    <col min="7" max="7" width="25" customWidth="1"/>
    <col min="8" max="9" width="24" customWidth="1"/>
  </cols>
  <sheetData>
    <row r="1" spans="1:9" ht="21" customHeight="1" x14ac:dyDescent="0.35">
      <c r="A1" s="1" t="s">
        <v>69</v>
      </c>
    </row>
    <row r="3" spans="1:9" x14ac:dyDescent="0.25">
      <c r="A3" s="21" t="s">
        <v>70</v>
      </c>
      <c r="B3" s="22"/>
      <c r="C3" s="22"/>
      <c r="D3" s="22"/>
      <c r="E3" s="22"/>
      <c r="F3" s="22"/>
      <c r="G3" s="22"/>
      <c r="H3" s="22"/>
      <c r="I3" s="23"/>
    </row>
    <row r="4" spans="1:9" x14ac:dyDescent="0.25">
      <c r="A4" s="24"/>
      <c r="B4" s="25"/>
      <c r="C4" s="25"/>
      <c r="D4" s="25"/>
      <c r="E4" s="25"/>
      <c r="F4" s="25"/>
      <c r="G4" s="25"/>
      <c r="H4" s="25"/>
      <c r="I4" s="26"/>
    </row>
    <row r="5" spans="1:9" ht="53.25" customHeight="1" x14ac:dyDescent="0.25">
      <c r="A5" s="27"/>
      <c r="B5" s="28"/>
      <c r="C5" s="28"/>
      <c r="D5" s="28"/>
      <c r="E5" s="28"/>
      <c r="F5" s="28"/>
      <c r="G5" s="28"/>
      <c r="H5" s="28"/>
      <c r="I5" s="29"/>
    </row>
    <row r="6" spans="1:9" x14ac:dyDescent="0.25">
      <c r="G6" s="11" t="s">
        <v>71</v>
      </c>
      <c r="H6" s="12">
        <v>46232</v>
      </c>
    </row>
    <row r="7" spans="1:9" ht="30" customHeight="1" x14ac:dyDescent="0.25">
      <c r="A7" s="3" t="s">
        <v>72</v>
      </c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</row>
    <row r="8" spans="1:9" x14ac:dyDescent="0.25">
      <c r="A8" s="4" t="s">
        <v>81</v>
      </c>
      <c r="B8" s="5" t="s">
        <v>82</v>
      </c>
      <c r="C8" s="13">
        <v>46213</v>
      </c>
      <c r="D8" s="13">
        <v>46218</v>
      </c>
      <c r="E8" s="4" t="s">
        <v>83</v>
      </c>
      <c r="F8" s="13">
        <v>46217</v>
      </c>
      <c r="G8" s="4" t="s">
        <v>84</v>
      </c>
      <c r="H8" s="14">
        <f t="shared" ref="H8:H19" si="0">IF(E8="Completed", F8-D8, IF($H$6&gt;D8, $H$6-D8, 0))</f>
        <v>-1</v>
      </c>
      <c r="I8" s="4" t="str">
        <f t="shared" ref="I8:I19" si="1">IF(AND(E8="Pending", D8&lt;$H$6), "IMMEDIATE ESCALATION", IF(E8="Completed", "Closed", "On Schedule"))</f>
        <v>Closed</v>
      </c>
    </row>
    <row r="9" spans="1:9" x14ac:dyDescent="0.25">
      <c r="A9" s="4" t="s">
        <v>85</v>
      </c>
      <c r="B9" s="5" t="s">
        <v>86</v>
      </c>
      <c r="C9" s="13">
        <v>46215</v>
      </c>
      <c r="D9" s="13">
        <v>46221</v>
      </c>
      <c r="E9" s="4" t="s">
        <v>83</v>
      </c>
      <c r="F9" s="13">
        <v>46223</v>
      </c>
      <c r="G9" s="4" t="s">
        <v>87</v>
      </c>
      <c r="H9" s="14">
        <f t="shared" si="0"/>
        <v>2</v>
      </c>
      <c r="I9" s="4" t="str">
        <f t="shared" si="1"/>
        <v>Closed</v>
      </c>
    </row>
    <row r="10" spans="1:9" x14ac:dyDescent="0.25">
      <c r="A10" s="4" t="s">
        <v>88</v>
      </c>
      <c r="B10" s="5" t="s">
        <v>89</v>
      </c>
      <c r="C10" s="13">
        <v>46218</v>
      </c>
      <c r="D10" s="13">
        <v>46225</v>
      </c>
      <c r="E10" s="4" t="s">
        <v>90</v>
      </c>
      <c r="F10" s="4" t="s">
        <v>91</v>
      </c>
      <c r="G10" s="4" t="s">
        <v>92</v>
      </c>
      <c r="H10" s="14">
        <f t="shared" si="0"/>
        <v>7</v>
      </c>
      <c r="I10" s="4" t="str">
        <f t="shared" si="1"/>
        <v>IMMEDIATE ESCALATION</v>
      </c>
    </row>
    <row r="11" spans="1:9" x14ac:dyDescent="0.25">
      <c r="A11" s="4" t="s">
        <v>93</v>
      </c>
      <c r="B11" s="5" t="s">
        <v>94</v>
      </c>
      <c r="C11" s="13">
        <v>46221</v>
      </c>
      <c r="D11" s="13">
        <v>46228</v>
      </c>
      <c r="E11" s="4" t="s">
        <v>90</v>
      </c>
      <c r="F11" s="4" t="s">
        <v>91</v>
      </c>
      <c r="G11" s="4" t="s">
        <v>95</v>
      </c>
      <c r="H11" s="14">
        <f t="shared" si="0"/>
        <v>4</v>
      </c>
      <c r="I11" s="4" t="str">
        <f t="shared" si="1"/>
        <v>IMMEDIATE ESCALATION</v>
      </c>
    </row>
    <row r="12" spans="1:9" x14ac:dyDescent="0.25">
      <c r="A12" s="4" t="s">
        <v>96</v>
      </c>
      <c r="B12" s="5" t="s">
        <v>97</v>
      </c>
      <c r="C12" s="13">
        <v>46223</v>
      </c>
      <c r="D12" s="13">
        <v>46229</v>
      </c>
      <c r="E12" s="4" t="s">
        <v>90</v>
      </c>
      <c r="F12" s="4" t="s">
        <v>91</v>
      </c>
      <c r="G12" s="4" t="s">
        <v>98</v>
      </c>
      <c r="H12" s="14">
        <f t="shared" si="0"/>
        <v>3</v>
      </c>
      <c r="I12" s="4" t="str">
        <f t="shared" si="1"/>
        <v>IMMEDIATE ESCALATION</v>
      </c>
    </row>
    <row r="13" spans="1:9" x14ac:dyDescent="0.25">
      <c r="A13" s="4" t="s">
        <v>99</v>
      </c>
      <c r="B13" s="5" t="s">
        <v>100</v>
      </c>
      <c r="C13" s="13">
        <v>46225</v>
      </c>
      <c r="D13" s="13">
        <v>46234</v>
      </c>
      <c r="E13" s="4" t="s">
        <v>90</v>
      </c>
      <c r="F13" s="4" t="s">
        <v>91</v>
      </c>
      <c r="G13" s="4" t="s">
        <v>101</v>
      </c>
      <c r="H13" s="14">
        <f t="shared" si="0"/>
        <v>0</v>
      </c>
      <c r="I13" s="4" t="str">
        <f t="shared" si="1"/>
        <v>On Schedule</v>
      </c>
    </row>
    <row r="14" spans="1:9" x14ac:dyDescent="0.25">
      <c r="A14" s="4" t="s">
        <v>102</v>
      </c>
      <c r="B14" s="5" t="s">
        <v>103</v>
      </c>
      <c r="C14" s="13">
        <v>46227</v>
      </c>
      <c r="D14" s="13">
        <v>46231</v>
      </c>
      <c r="E14" s="4" t="s">
        <v>90</v>
      </c>
      <c r="F14" s="4" t="s">
        <v>91</v>
      </c>
      <c r="G14" s="4" t="s">
        <v>104</v>
      </c>
      <c r="H14" s="14">
        <f t="shared" si="0"/>
        <v>1</v>
      </c>
      <c r="I14" s="4" t="str">
        <f t="shared" si="1"/>
        <v>IMMEDIATE ESCALATION</v>
      </c>
    </row>
    <row r="15" spans="1:9" x14ac:dyDescent="0.25">
      <c r="A15" s="4" t="s">
        <v>105</v>
      </c>
      <c r="B15" s="5" t="s">
        <v>106</v>
      </c>
      <c r="C15" s="13">
        <v>46228</v>
      </c>
      <c r="D15" s="13">
        <v>46236</v>
      </c>
      <c r="E15" s="4" t="s">
        <v>90</v>
      </c>
      <c r="F15" s="4" t="s">
        <v>91</v>
      </c>
      <c r="G15" s="4" t="s">
        <v>107</v>
      </c>
      <c r="H15" s="14">
        <f t="shared" si="0"/>
        <v>0</v>
      </c>
      <c r="I15" s="4" t="str">
        <f t="shared" si="1"/>
        <v>On Schedule</v>
      </c>
    </row>
    <row r="16" spans="1:9" x14ac:dyDescent="0.25">
      <c r="A16" s="4" t="s">
        <v>108</v>
      </c>
      <c r="B16" s="5" t="s">
        <v>109</v>
      </c>
      <c r="C16" s="13">
        <v>46217</v>
      </c>
      <c r="D16" s="13">
        <v>46222</v>
      </c>
      <c r="E16" s="4" t="s">
        <v>83</v>
      </c>
      <c r="F16" s="13">
        <v>46221</v>
      </c>
      <c r="G16" s="4" t="s">
        <v>84</v>
      </c>
      <c r="H16" s="14">
        <f t="shared" si="0"/>
        <v>-1</v>
      </c>
      <c r="I16" s="4" t="str">
        <f t="shared" si="1"/>
        <v>Closed</v>
      </c>
    </row>
    <row r="17" spans="1:9" x14ac:dyDescent="0.25">
      <c r="A17" s="4" t="s">
        <v>110</v>
      </c>
      <c r="B17" s="5" t="s">
        <v>111</v>
      </c>
      <c r="C17" s="13">
        <v>46219</v>
      </c>
      <c r="D17" s="13">
        <v>46226</v>
      </c>
      <c r="E17" s="4" t="s">
        <v>90</v>
      </c>
      <c r="F17" s="4" t="s">
        <v>91</v>
      </c>
      <c r="G17" s="4" t="s">
        <v>95</v>
      </c>
      <c r="H17" s="14">
        <f t="shared" si="0"/>
        <v>6</v>
      </c>
      <c r="I17" s="4" t="str">
        <f t="shared" si="1"/>
        <v>IMMEDIATE ESCALATION</v>
      </c>
    </row>
    <row r="18" spans="1:9" x14ac:dyDescent="0.25">
      <c r="A18" s="4" t="s">
        <v>112</v>
      </c>
      <c r="B18" s="5" t="s">
        <v>113</v>
      </c>
      <c r="C18" s="13">
        <v>46229</v>
      </c>
      <c r="D18" s="13">
        <v>46239</v>
      </c>
      <c r="E18" s="4" t="s">
        <v>90</v>
      </c>
      <c r="F18" s="4" t="s">
        <v>91</v>
      </c>
      <c r="G18" s="4" t="s">
        <v>114</v>
      </c>
      <c r="H18" s="14">
        <f t="shared" si="0"/>
        <v>0</v>
      </c>
      <c r="I18" s="4" t="str">
        <f t="shared" si="1"/>
        <v>On Schedule</v>
      </c>
    </row>
    <row r="19" spans="1:9" x14ac:dyDescent="0.25">
      <c r="A19" s="4" t="s">
        <v>115</v>
      </c>
      <c r="B19" s="5" t="s">
        <v>116</v>
      </c>
      <c r="C19" s="13">
        <v>46214</v>
      </c>
      <c r="D19" s="13">
        <v>46219</v>
      </c>
      <c r="E19" s="4" t="s">
        <v>83</v>
      </c>
      <c r="F19" s="13">
        <v>46219</v>
      </c>
      <c r="G19" s="4" t="s">
        <v>84</v>
      </c>
      <c r="H19" s="14">
        <f t="shared" si="0"/>
        <v>0</v>
      </c>
      <c r="I19" s="4" t="str">
        <f t="shared" si="1"/>
        <v>Closed</v>
      </c>
    </row>
  </sheetData>
  <mergeCells count="1">
    <mergeCell ref="A3:I5"/>
  </mergeCells>
  <conditionalFormatting sqref="A8:I19">
    <cfRule type="expression" dxfId="13" priority="1">
      <formula>AND($E8="Pending", $D8&lt;$H$6)</formula>
    </cfRule>
  </conditionalFormatting>
  <conditionalFormatting sqref="E8:E19">
    <cfRule type="expression" dxfId="12" priority="2">
      <formula>$E8="Completed"</formula>
    </cfRule>
    <cfRule type="expression" dxfId="11" priority="3">
      <formula>$E8="Pending"</formula>
    </cfRule>
  </conditionalFormatting>
  <conditionalFormatting sqref="I8:I19">
    <cfRule type="expression" dxfId="10" priority="4">
      <formula>$I8="IMMEDIATE ESCALATION"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16" customWidth="1"/>
    <col min="4" max="5" width="15" customWidth="1"/>
    <col min="6" max="6" width="18" customWidth="1"/>
    <col min="7" max="7" width="16" customWidth="1"/>
    <col min="8" max="8" width="18" customWidth="1"/>
    <col min="9" max="9" width="22" customWidth="1"/>
  </cols>
  <sheetData>
    <row r="1" spans="1:9" ht="21" customHeight="1" x14ac:dyDescent="0.35">
      <c r="A1" s="1" t="s">
        <v>117</v>
      </c>
    </row>
    <row r="3" spans="1:9" x14ac:dyDescent="0.25">
      <c r="A3" s="21" t="s">
        <v>118</v>
      </c>
      <c r="B3" s="22"/>
      <c r="C3" s="22"/>
      <c r="D3" s="22"/>
      <c r="E3" s="22"/>
      <c r="F3" s="22"/>
      <c r="G3" s="22"/>
      <c r="H3" s="22"/>
      <c r="I3" s="23"/>
    </row>
    <row r="4" spans="1:9" x14ac:dyDescent="0.25">
      <c r="A4" s="24"/>
      <c r="B4" s="25"/>
      <c r="C4" s="25"/>
      <c r="D4" s="25"/>
      <c r="E4" s="25"/>
      <c r="F4" s="25"/>
      <c r="G4" s="25"/>
      <c r="H4" s="25"/>
      <c r="I4" s="26"/>
    </row>
    <row r="5" spans="1:9" ht="30.75" customHeight="1" x14ac:dyDescent="0.25">
      <c r="A5" s="27"/>
      <c r="B5" s="28"/>
      <c r="C5" s="28"/>
      <c r="D5" s="28"/>
      <c r="E5" s="28"/>
      <c r="F5" s="28"/>
      <c r="G5" s="28"/>
      <c r="H5" s="28"/>
      <c r="I5" s="29"/>
    </row>
    <row r="7" spans="1:9" x14ac:dyDescent="0.25">
      <c r="A7" s="3" t="s">
        <v>119</v>
      </c>
      <c r="B7" s="3" t="s">
        <v>120</v>
      </c>
      <c r="C7" s="3" t="s">
        <v>121</v>
      </c>
      <c r="D7" s="3" t="s">
        <v>122</v>
      </c>
      <c r="E7" s="3" t="s">
        <v>123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1:9" x14ac:dyDescent="0.25">
      <c r="A8" s="4" t="s">
        <v>128</v>
      </c>
      <c r="B8" s="5" t="s">
        <v>129</v>
      </c>
      <c r="C8" s="5" t="s">
        <v>130</v>
      </c>
      <c r="D8" s="13">
        <v>46152</v>
      </c>
      <c r="E8" s="13">
        <v>46154</v>
      </c>
      <c r="F8" s="4" t="s">
        <v>131</v>
      </c>
      <c r="G8" s="14">
        <f t="shared" ref="G8:G17" si="0">E8-D8+1</f>
        <v>3</v>
      </c>
      <c r="H8" s="14">
        <v>12</v>
      </c>
      <c r="I8" s="4" t="str">
        <f t="shared" ref="I8:I17" si="1">IF(G8&gt;H8,"EXCEEDED BALANCE","VALID - APPROVED")</f>
        <v>VALID - APPROVED</v>
      </c>
    </row>
    <row r="9" spans="1:9" x14ac:dyDescent="0.25">
      <c r="A9" s="4" t="s">
        <v>132</v>
      </c>
      <c r="B9" s="5" t="s">
        <v>133</v>
      </c>
      <c r="C9" s="5" t="s">
        <v>134</v>
      </c>
      <c r="D9" s="13">
        <v>46174</v>
      </c>
      <c r="E9" s="13">
        <v>46178</v>
      </c>
      <c r="F9" s="4" t="s">
        <v>135</v>
      </c>
      <c r="G9" s="14">
        <f t="shared" si="0"/>
        <v>5</v>
      </c>
      <c r="H9" s="14">
        <v>15</v>
      </c>
      <c r="I9" s="4" t="str">
        <f t="shared" si="1"/>
        <v>VALID - APPROVED</v>
      </c>
    </row>
    <row r="10" spans="1:9" x14ac:dyDescent="0.25">
      <c r="A10" s="4" t="s">
        <v>136</v>
      </c>
      <c r="B10" s="5" t="s">
        <v>137</v>
      </c>
      <c r="C10" s="5" t="s">
        <v>138</v>
      </c>
      <c r="D10" s="13">
        <v>46217</v>
      </c>
      <c r="E10" s="13">
        <v>46228</v>
      </c>
      <c r="F10" s="4" t="s">
        <v>135</v>
      </c>
      <c r="G10" s="14">
        <f t="shared" si="0"/>
        <v>12</v>
      </c>
      <c r="H10" s="14">
        <v>8</v>
      </c>
      <c r="I10" s="4" t="str">
        <f t="shared" si="1"/>
        <v>EXCEEDED BALANCE</v>
      </c>
    </row>
    <row r="11" spans="1:9" x14ac:dyDescent="0.25">
      <c r="A11" s="4" t="s">
        <v>139</v>
      </c>
      <c r="B11" s="5" t="s">
        <v>140</v>
      </c>
      <c r="C11" s="5" t="s">
        <v>141</v>
      </c>
      <c r="D11" s="13">
        <v>46236</v>
      </c>
      <c r="E11" s="13">
        <v>46237</v>
      </c>
      <c r="F11" s="4" t="s">
        <v>142</v>
      </c>
      <c r="G11" s="14">
        <f t="shared" si="0"/>
        <v>2</v>
      </c>
      <c r="H11" s="14">
        <v>10</v>
      </c>
      <c r="I11" s="4" t="str">
        <f t="shared" si="1"/>
        <v>VALID - APPROVED</v>
      </c>
    </row>
    <row r="12" spans="1:9" x14ac:dyDescent="0.25">
      <c r="A12" s="4" t="s">
        <v>143</v>
      </c>
      <c r="B12" s="5" t="s">
        <v>144</v>
      </c>
      <c r="C12" s="5" t="s">
        <v>145</v>
      </c>
      <c r="D12" s="13">
        <v>46275</v>
      </c>
      <c r="E12" s="13">
        <v>46280</v>
      </c>
      <c r="F12" s="4" t="s">
        <v>131</v>
      </c>
      <c r="G12" s="14">
        <f t="shared" si="0"/>
        <v>6</v>
      </c>
      <c r="H12" s="14">
        <v>4</v>
      </c>
      <c r="I12" s="4" t="str">
        <f t="shared" si="1"/>
        <v>EXCEEDED BALANCE</v>
      </c>
    </row>
    <row r="13" spans="1:9" x14ac:dyDescent="0.25">
      <c r="A13" s="4" t="s">
        <v>146</v>
      </c>
      <c r="B13" s="5" t="s">
        <v>147</v>
      </c>
      <c r="C13" s="5" t="s">
        <v>148</v>
      </c>
      <c r="D13" s="13">
        <v>46300</v>
      </c>
      <c r="E13" s="13">
        <v>46301</v>
      </c>
      <c r="F13" s="4" t="s">
        <v>142</v>
      </c>
      <c r="G13" s="14">
        <f t="shared" si="0"/>
        <v>2</v>
      </c>
      <c r="H13" s="14">
        <v>7</v>
      </c>
      <c r="I13" s="4" t="str">
        <f t="shared" si="1"/>
        <v>VALID - APPROVED</v>
      </c>
    </row>
    <row r="14" spans="1:9" x14ac:dyDescent="0.25">
      <c r="A14" s="4" t="s">
        <v>149</v>
      </c>
      <c r="B14" s="5" t="s">
        <v>150</v>
      </c>
      <c r="C14" s="5" t="s">
        <v>130</v>
      </c>
      <c r="D14" s="13">
        <v>46327</v>
      </c>
      <c r="E14" s="13">
        <v>46336</v>
      </c>
      <c r="F14" s="4" t="s">
        <v>135</v>
      </c>
      <c r="G14" s="14">
        <f t="shared" si="0"/>
        <v>10</v>
      </c>
      <c r="H14" s="14">
        <v>18</v>
      </c>
      <c r="I14" s="4" t="str">
        <f t="shared" si="1"/>
        <v>VALID - APPROVED</v>
      </c>
    </row>
    <row r="15" spans="1:9" x14ac:dyDescent="0.25">
      <c r="A15" s="4" t="s">
        <v>151</v>
      </c>
      <c r="B15" s="5" t="s">
        <v>152</v>
      </c>
      <c r="C15" s="5" t="s">
        <v>138</v>
      </c>
      <c r="D15" s="13">
        <v>46376</v>
      </c>
      <c r="E15" s="13">
        <v>46380</v>
      </c>
      <c r="F15" s="4" t="s">
        <v>131</v>
      </c>
      <c r="G15" s="14">
        <f t="shared" si="0"/>
        <v>5</v>
      </c>
      <c r="H15" s="14">
        <v>6</v>
      </c>
      <c r="I15" s="4" t="str">
        <f t="shared" si="1"/>
        <v>VALID - APPROVED</v>
      </c>
    </row>
    <row r="16" spans="1:9" x14ac:dyDescent="0.25">
      <c r="A16" s="4" t="s">
        <v>153</v>
      </c>
      <c r="B16" s="5" t="s">
        <v>154</v>
      </c>
      <c r="C16" s="5" t="s">
        <v>155</v>
      </c>
      <c r="D16" s="13">
        <v>46402</v>
      </c>
      <c r="E16" s="13">
        <v>46405</v>
      </c>
      <c r="F16" s="4" t="s">
        <v>135</v>
      </c>
      <c r="G16" s="14">
        <f t="shared" si="0"/>
        <v>4</v>
      </c>
      <c r="H16" s="14">
        <v>14</v>
      </c>
      <c r="I16" s="4" t="str">
        <f t="shared" si="1"/>
        <v>VALID - APPROVED</v>
      </c>
    </row>
    <row r="17" spans="1:9" x14ac:dyDescent="0.25">
      <c r="A17" s="4" t="s">
        <v>156</v>
      </c>
      <c r="B17" s="5" t="s">
        <v>157</v>
      </c>
      <c r="C17" s="5" t="s">
        <v>141</v>
      </c>
      <c r="D17" s="13">
        <v>46428</v>
      </c>
      <c r="E17" s="13">
        <v>46430</v>
      </c>
      <c r="F17" s="4" t="s">
        <v>142</v>
      </c>
      <c r="G17" s="14">
        <f t="shared" si="0"/>
        <v>3</v>
      </c>
      <c r="H17" s="14">
        <v>10</v>
      </c>
      <c r="I17" s="4" t="str">
        <f t="shared" si="1"/>
        <v>VALID - APPROVED</v>
      </c>
    </row>
  </sheetData>
  <mergeCells count="1">
    <mergeCell ref="A3:I5"/>
  </mergeCells>
  <conditionalFormatting sqref="I8:I17">
    <cfRule type="expression" dxfId="9" priority="1">
      <formula>$I8="EXCEEDED BALANCE"</formula>
    </cfRule>
    <cfRule type="expression" dxfId="8" priority="2">
      <formula>$I8="VALID - APPROVED"</formula>
    </cfRule>
  </conditionalFormatting>
  <dataValidations count="2">
    <dataValidation type="date" allowBlank="1" errorTitle="Invalid Date" error="Date out of bounds" promptTitle="FY 2026-27 Leave" prompt="Enter a date between 2026-04-01 and 2027-03-31" sqref="D8 D9 D10 D11 D12 D13 D14 D15 D16 D17 E8 E9 E10 E11 E12 E13 E14 E15 E16 E17" xr:uid="{00000000-0002-0000-0200-000000000000}">
      <formula1>DATE(2026,4,1)</formula1>
      <formula2>DATE(2027,3,31)</formula2>
    </dataValidation>
    <dataValidation type="list" allowBlank="1" errorTitle="Invalid Leave Type" error="Please select a valid leave type from the dropdown" sqref="F8 F9 F10 F11 F12 F13 F14 F15 F16 F17" xr:uid="{00000000-0002-0000-0200-000001000000}">
      <formula1>"Casual Leave,Sick Leave,Earned Leave,Maternity Leave,Unpaid Leave"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topLeftCell="A4" workbookViewId="0">
      <selection activeCell="C8" sqref="C8"/>
    </sheetView>
  </sheetViews>
  <sheetFormatPr defaultRowHeight="15" x14ac:dyDescent="0.25"/>
  <cols>
    <col min="1" max="1" width="12" customWidth="1"/>
    <col min="2" max="2" width="20" customWidth="1"/>
    <col min="3" max="3" width="24" customWidth="1"/>
    <col min="4" max="4" width="14" customWidth="1"/>
    <col min="5" max="5" width="12" customWidth="1"/>
    <col min="6" max="6" width="16" customWidth="1"/>
    <col min="7" max="7" width="20" customWidth="1"/>
    <col min="8" max="9" width="12" customWidth="1"/>
    <col min="10" max="10" width="15" customWidth="1"/>
    <col min="11" max="13" width="18" customWidth="1"/>
  </cols>
  <sheetData>
    <row r="1" spans="1:13" ht="21" customHeight="1" x14ac:dyDescent="0.35">
      <c r="A1" s="1" t="s">
        <v>158</v>
      </c>
    </row>
    <row r="3" spans="1:13" x14ac:dyDescent="0.25">
      <c r="A3" s="21" t="s">
        <v>159</v>
      </c>
      <c r="B3" s="22"/>
      <c r="C3" s="22"/>
      <c r="D3" s="22"/>
      <c r="E3" s="22"/>
      <c r="F3" s="22"/>
      <c r="G3" s="22"/>
      <c r="H3" s="23"/>
    </row>
    <row r="4" spans="1:13" x14ac:dyDescent="0.25">
      <c r="A4" s="24"/>
      <c r="B4" s="25"/>
      <c r="C4" s="25"/>
      <c r="D4" s="25"/>
      <c r="E4" s="25"/>
      <c r="F4" s="25"/>
      <c r="G4" s="25"/>
      <c r="H4" s="26"/>
    </row>
    <row r="5" spans="1:13" ht="42.75" customHeight="1" x14ac:dyDescent="0.25">
      <c r="A5" s="27"/>
      <c r="B5" s="28"/>
      <c r="C5" s="28"/>
      <c r="D5" s="28"/>
      <c r="E5" s="28"/>
      <c r="F5" s="28"/>
      <c r="G5" s="28"/>
      <c r="H5" s="29"/>
    </row>
    <row r="7" spans="1:13" x14ac:dyDescent="0.25">
      <c r="A7" s="3" t="s">
        <v>160</v>
      </c>
      <c r="B7" s="3" t="s">
        <v>161</v>
      </c>
      <c r="C7" s="3" t="s">
        <v>162</v>
      </c>
      <c r="D7" s="3" t="s">
        <v>163</v>
      </c>
      <c r="E7" s="3" t="s">
        <v>164</v>
      </c>
      <c r="F7" s="3" t="s">
        <v>165</v>
      </c>
      <c r="G7" s="3" t="s">
        <v>166</v>
      </c>
      <c r="J7" s="15" t="s">
        <v>167</v>
      </c>
      <c r="K7" s="15" t="s">
        <v>168</v>
      </c>
      <c r="L7" s="15" t="s">
        <v>169</v>
      </c>
      <c r="M7" s="15" t="s">
        <v>170</v>
      </c>
    </row>
    <row r="8" spans="1:13" x14ac:dyDescent="0.25">
      <c r="A8" s="4" t="s">
        <v>171</v>
      </c>
      <c r="B8" s="5" t="s">
        <v>168</v>
      </c>
      <c r="C8" s="5" t="s">
        <v>172</v>
      </c>
      <c r="D8" s="4" t="s">
        <v>173</v>
      </c>
      <c r="E8" s="16">
        <v>5</v>
      </c>
      <c r="F8" s="17">
        <v>65000</v>
      </c>
      <c r="G8" s="17">
        <f t="shared" ref="G8:G17" si="0">E8*F8</f>
        <v>325000</v>
      </c>
      <c r="J8" s="2" t="s">
        <v>168</v>
      </c>
      <c r="K8" s="2" t="s">
        <v>172</v>
      </c>
      <c r="L8" s="2" t="s">
        <v>174</v>
      </c>
      <c r="M8" s="2" t="s">
        <v>175</v>
      </c>
    </row>
    <row r="9" spans="1:13" x14ac:dyDescent="0.25">
      <c r="A9" s="4" t="s">
        <v>176</v>
      </c>
      <c r="B9" s="5" t="s">
        <v>169</v>
      </c>
      <c r="C9" s="5" t="s">
        <v>174</v>
      </c>
      <c r="D9" s="4" t="s">
        <v>177</v>
      </c>
      <c r="E9" s="16">
        <v>100</v>
      </c>
      <c r="F9" s="17">
        <v>120</v>
      </c>
      <c r="G9" s="17">
        <f t="shared" si="0"/>
        <v>12000</v>
      </c>
      <c r="J9" s="2" t="s">
        <v>169</v>
      </c>
      <c r="K9" s="2" t="s">
        <v>178</v>
      </c>
      <c r="L9" s="2" t="s">
        <v>179</v>
      </c>
      <c r="M9" s="2" t="s">
        <v>180</v>
      </c>
    </row>
    <row r="10" spans="1:13" x14ac:dyDescent="0.25">
      <c r="A10" s="4" t="s">
        <v>181</v>
      </c>
      <c r="B10" s="5" t="s">
        <v>170</v>
      </c>
      <c r="C10" s="5" t="s">
        <v>175</v>
      </c>
      <c r="D10" s="4" t="s">
        <v>182</v>
      </c>
      <c r="E10" s="16">
        <v>10</v>
      </c>
      <c r="F10" s="17">
        <v>14500</v>
      </c>
      <c r="G10" s="17">
        <f t="shared" si="0"/>
        <v>145000</v>
      </c>
      <c r="J10" s="2" t="s">
        <v>170</v>
      </c>
      <c r="K10" s="2" t="s">
        <v>183</v>
      </c>
      <c r="L10" s="2" t="s">
        <v>184</v>
      </c>
      <c r="M10" s="2" t="s">
        <v>185</v>
      </c>
    </row>
    <row r="11" spans="1:13" x14ac:dyDescent="0.25">
      <c r="A11" s="4" t="s">
        <v>186</v>
      </c>
      <c r="B11" s="5" t="s">
        <v>168</v>
      </c>
      <c r="C11" s="5" t="s">
        <v>183</v>
      </c>
      <c r="D11" s="4" t="s">
        <v>187</v>
      </c>
      <c r="E11" s="16">
        <v>15</v>
      </c>
      <c r="F11" s="17">
        <v>18000</v>
      </c>
      <c r="G11" s="17">
        <f t="shared" si="0"/>
        <v>270000</v>
      </c>
      <c r="K11" s="2" t="s">
        <v>188</v>
      </c>
      <c r="L11" s="2" t="s">
        <v>189</v>
      </c>
      <c r="M11" s="2" t="s">
        <v>190</v>
      </c>
    </row>
    <row r="12" spans="1:13" x14ac:dyDescent="0.25">
      <c r="A12" s="4" t="s">
        <v>191</v>
      </c>
      <c r="B12" s="5" t="s">
        <v>169</v>
      </c>
      <c r="C12" s="5" t="s">
        <v>179</v>
      </c>
      <c r="D12" s="4" t="s">
        <v>192</v>
      </c>
      <c r="E12" s="16">
        <v>50</v>
      </c>
      <c r="F12" s="17">
        <v>45</v>
      </c>
      <c r="G12" s="17">
        <f t="shared" si="0"/>
        <v>2250</v>
      </c>
      <c r="K12" s="2" t="s">
        <v>193</v>
      </c>
      <c r="L12" s="2" t="s">
        <v>194</v>
      </c>
      <c r="M12" s="2" t="s">
        <v>195</v>
      </c>
    </row>
    <row r="13" spans="1:13" x14ac:dyDescent="0.25">
      <c r="A13" s="4" t="s">
        <v>196</v>
      </c>
      <c r="B13" s="5" t="s">
        <v>170</v>
      </c>
      <c r="C13" s="5" t="s">
        <v>180</v>
      </c>
      <c r="D13" s="4" t="s">
        <v>197</v>
      </c>
      <c r="E13" s="16">
        <v>6</v>
      </c>
      <c r="F13" s="17">
        <v>24000</v>
      </c>
      <c r="G13" s="17">
        <f t="shared" si="0"/>
        <v>144000</v>
      </c>
    </row>
    <row r="14" spans="1:13" x14ac:dyDescent="0.25">
      <c r="A14" s="4" t="s">
        <v>198</v>
      </c>
      <c r="B14" s="5" t="s">
        <v>168</v>
      </c>
      <c r="C14" s="5" t="s">
        <v>188</v>
      </c>
      <c r="D14" s="4" t="s">
        <v>199</v>
      </c>
      <c r="E14" s="16">
        <v>3</v>
      </c>
      <c r="F14" s="17">
        <v>32000</v>
      </c>
      <c r="G14" s="17">
        <f t="shared" si="0"/>
        <v>96000</v>
      </c>
    </row>
    <row r="15" spans="1:13" x14ac:dyDescent="0.25">
      <c r="A15" s="4" t="s">
        <v>200</v>
      </c>
      <c r="B15" s="5" t="s">
        <v>169</v>
      </c>
      <c r="C15" s="5" t="s">
        <v>194</v>
      </c>
      <c r="D15" s="4" t="s">
        <v>201</v>
      </c>
      <c r="E15" s="16">
        <v>40</v>
      </c>
      <c r="F15" s="17">
        <v>450</v>
      </c>
      <c r="G15" s="17">
        <f t="shared" si="0"/>
        <v>18000</v>
      </c>
    </row>
    <row r="16" spans="1:13" x14ac:dyDescent="0.25">
      <c r="A16" s="4" t="s">
        <v>202</v>
      </c>
      <c r="B16" s="5" t="s">
        <v>170</v>
      </c>
      <c r="C16" s="5" t="s">
        <v>185</v>
      </c>
      <c r="D16" s="4" t="s">
        <v>203</v>
      </c>
      <c r="E16" s="16">
        <v>8</v>
      </c>
      <c r="F16" s="17">
        <v>11000</v>
      </c>
      <c r="G16" s="17">
        <f t="shared" si="0"/>
        <v>88000</v>
      </c>
    </row>
    <row r="17" spans="1:7" x14ac:dyDescent="0.25">
      <c r="A17" s="4" t="s">
        <v>204</v>
      </c>
      <c r="B17" s="5" t="s">
        <v>168</v>
      </c>
      <c r="C17" s="5" t="s">
        <v>193</v>
      </c>
      <c r="D17" s="4" t="s">
        <v>205</v>
      </c>
      <c r="E17" s="16">
        <v>20</v>
      </c>
      <c r="F17" s="17">
        <v>3500</v>
      </c>
      <c r="G17" s="17">
        <f t="shared" si="0"/>
        <v>70000</v>
      </c>
    </row>
  </sheetData>
  <mergeCells count="1">
    <mergeCell ref="A3:H5"/>
  </mergeCells>
  <dataValidations count="2">
    <dataValidation type="list" allowBlank="1" sqref="B8 B9 B10 B11 B12 B13 B14 B15 B16 B17" xr:uid="{00000000-0002-0000-0300-000000000000}">
      <formula1>$J$8:$J$10</formula1>
    </dataValidation>
    <dataValidation type="list" allowBlank="1" sqref="C8:C17" xr:uid="{00000000-0002-0000-0300-000001000000}">
      <formula1>INDIRECT($B8)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C8" sqref="C8"/>
    </sheetView>
  </sheetViews>
  <sheetFormatPr defaultRowHeight="15" x14ac:dyDescent="0.25"/>
  <cols>
    <col min="1" max="1" width="15" customWidth="1"/>
    <col min="2" max="2" width="22" customWidth="1"/>
    <col min="3" max="3" width="28" customWidth="1"/>
    <col min="4" max="4" width="16" customWidth="1"/>
    <col min="5" max="5" width="18" customWidth="1"/>
    <col min="6" max="6" width="14" customWidth="1"/>
    <col min="7" max="7" width="24" customWidth="1"/>
    <col min="8" max="8" width="12" customWidth="1"/>
  </cols>
  <sheetData>
    <row r="1" spans="1:8" ht="21" customHeight="1" x14ac:dyDescent="0.35">
      <c r="A1" s="1" t="s">
        <v>206</v>
      </c>
    </row>
    <row r="3" spans="1:8" x14ac:dyDescent="0.25">
      <c r="A3" s="21" t="s">
        <v>207</v>
      </c>
      <c r="B3" s="22"/>
      <c r="C3" s="22"/>
      <c r="D3" s="22"/>
      <c r="E3" s="22"/>
      <c r="F3" s="22"/>
      <c r="G3" s="22"/>
      <c r="H3" s="23"/>
    </row>
    <row r="4" spans="1:8" x14ac:dyDescent="0.25">
      <c r="A4" s="24"/>
      <c r="B4" s="25"/>
      <c r="C4" s="25"/>
      <c r="D4" s="25"/>
      <c r="E4" s="25"/>
      <c r="F4" s="25"/>
      <c r="G4" s="25"/>
      <c r="H4" s="26"/>
    </row>
    <row r="5" spans="1:8" ht="30.75" customHeight="1" x14ac:dyDescent="0.25">
      <c r="A5" s="27"/>
      <c r="B5" s="28"/>
      <c r="C5" s="28"/>
      <c r="D5" s="28"/>
      <c r="E5" s="28"/>
      <c r="F5" s="28"/>
      <c r="G5" s="28"/>
      <c r="H5" s="29"/>
    </row>
    <row r="7" spans="1:8" x14ac:dyDescent="0.25">
      <c r="A7" s="3" t="s">
        <v>208</v>
      </c>
      <c r="B7" s="3" t="s">
        <v>209</v>
      </c>
      <c r="C7" s="3" t="s">
        <v>210</v>
      </c>
      <c r="D7" s="3" t="s">
        <v>211</v>
      </c>
      <c r="E7" s="3" t="s">
        <v>212</v>
      </c>
      <c r="F7" s="3" t="s">
        <v>213</v>
      </c>
      <c r="G7" s="3" t="s">
        <v>214</v>
      </c>
    </row>
    <row r="8" spans="1:8" x14ac:dyDescent="0.25">
      <c r="A8" s="4" t="s">
        <v>215</v>
      </c>
      <c r="B8" s="5" t="s">
        <v>82</v>
      </c>
      <c r="C8" s="5" t="s">
        <v>216</v>
      </c>
      <c r="D8" s="4" t="s">
        <v>217</v>
      </c>
      <c r="E8" s="18">
        <v>94</v>
      </c>
      <c r="F8" s="4">
        <f>RANK(E8, $E$8:$E$22)</f>
        <v>2</v>
      </c>
      <c r="G8" s="4" t="str">
        <f>IF(E8&gt;=80, "SHORTLISTED", "Below Threshold")</f>
        <v>SHORTLISTED</v>
      </c>
    </row>
    <row r="9" spans="1:8" x14ac:dyDescent="0.25">
      <c r="A9" s="4" t="s">
        <v>218</v>
      </c>
      <c r="B9" s="5" t="s">
        <v>219</v>
      </c>
      <c r="C9" s="5" t="s">
        <v>216</v>
      </c>
      <c r="D9" s="4" t="s">
        <v>217</v>
      </c>
      <c r="E9" s="18">
        <v>88</v>
      </c>
      <c r="F9" s="4">
        <f>RANK(E9, $E$8:$E$22)</f>
        <v>6</v>
      </c>
      <c r="G9" s="4" t="str">
        <f>IF(E9&gt;=80, "SHORTLISTED", "Below Threshold")</f>
        <v>SHORTLISTED</v>
      </c>
    </row>
    <row r="10" spans="1:8" x14ac:dyDescent="0.25">
      <c r="A10" s="4" t="s">
        <v>220</v>
      </c>
      <c r="B10" s="5" t="s">
        <v>89</v>
      </c>
      <c r="C10" s="5" t="s">
        <v>216</v>
      </c>
      <c r="D10" s="4" t="s">
        <v>217</v>
      </c>
      <c r="E10" s="18">
        <v>76</v>
      </c>
      <c r="F10" s="4">
        <f>RANK(E10, $E$8:$E$22)</f>
        <v>14</v>
      </c>
      <c r="G10" s="4" t="str">
        <f>IF(E10&gt;=80, "SHORTLISTED", "Below Threshold")</f>
        <v>Below Threshold</v>
      </c>
    </row>
    <row r="11" spans="1:8" x14ac:dyDescent="0.25">
      <c r="A11" s="4" t="s">
        <v>221</v>
      </c>
      <c r="B11" s="5" t="s">
        <v>222</v>
      </c>
      <c r="C11" s="5" t="s">
        <v>216</v>
      </c>
      <c r="D11" s="4" t="s">
        <v>223</v>
      </c>
      <c r="E11" s="18">
        <v>91</v>
      </c>
      <c r="F11" s="4">
        <f>RANK(E11, $E$8:$E$22)</f>
        <v>4</v>
      </c>
      <c r="G11" s="4" t="str">
        <f>IF(E11&gt;=80, "SHORTLISTED", "Below Threshold")</f>
        <v>SHORTLISTED</v>
      </c>
    </row>
    <row r="12" spans="1:8" x14ac:dyDescent="0.25">
      <c r="A12" s="4" t="s">
        <v>224</v>
      </c>
      <c r="B12" s="5" t="s">
        <v>97</v>
      </c>
      <c r="C12" s="5" t="s">
        <v>216</v>
      </c>
      <c r="D12" s="4" t="s">
        <v>223</v>
      </c>
      <c r="E12" s="18">
        <v>85</v>
      </c>
      <c r="F12" s="4">
        <f>RANK(E12, $E$8:$E$22)</f>
        <v>8</v>
      </c>
      <c r="G12" s="4" t="str">
        <f>IF(E12&gt;=80, "SHORTLISTED", "Below Threshold")</f>
        <v>SHORTLISTED</v>
      </c>
    </row>
    <row r="13" spans="1:8" x14ac:dyDescent="0.25">
      <c r="A13" s="4" t="s">
        <v>225</v>
      </c>
      <c r="B13" s="5" t="s">
        <v>226</v>
      </c>
      <c r="C13" s="5" t="s">
        <v>216</v>
      </c>
      <c r="D13" s="4" t="s">
        <v>227</v>
      </c>
      <c r="E13" s="18">
        <v>92</v>
      </c>
      <c r="F13" s="4">
        <f>RANK(E13, $E$8:$E$22)</f>
        <v>3</v>
      </c>
      <c r="G13" s="4" t="str">
        <f>IF(E13&gt;=80, "SHORTLISTED", "Below Threshold")</f>
        <v>SHORTLISTED</v>
      </c>
    </row>
    <row r="14" spans="1:8" x14ac:dyDescent="0.25">
      <c r="A14" s="4" t="s">
        <v>228</v>
      </c>
      <c r="B14" s="5" t="s">
        <v>229</v>
      </c>
      <c r="C14" s="5" t="s">
        <v>216</v>
      </c>
      <c r="D14" s="4" t="s">
        <v>227</v>
      </c>
      <c r="E14" s="18">
        <v>82</v>
      </c>
      <c r="F14" s="4">
        <f>RANK(E14, $E$8:$E$22)</f>
        <v>10</v>
      </c>
      <c r="G14" s="4" t="str">
        <f>IF(E14&gt;=80, "SHORTLISTED", "Below Threshold")</f>
        <v>SHORTLISTED</v>
      </c>
    </row>
    <row r="15" spans="1:8" x14ac:dyDescent="0.25">
      <c r="A15" s="4" t="s">
        <v>230</v>
      </c>
      <c r="B15" s="5" t="s">
        <v>86</v>
      </c>
      <c r="C15" s="5" t="s">
        <v>216</v>
      </c>
      <c r="D15" s="4" t="s">
        <v>227</v>
      </c>
      <c r="E15" s="18">
        <v>78</v>
      </c>
      <c r="F15" s="4">
        <f>RANK(E15, $E$8:$E$22)</f>
        <v>13</v>
      </c>
      <c r="G15" s="4" t="str">
        <f>IF(E15&gt;=80, "SHORTLISTED", "Below Threshold")</f>
        <v>Below Threshold</v>
      </c>
    </row>
    <row r="16" spans="1:8" x14ac:dyDescent="0.25">
      <c r="A16" s="4" t="s">
        <v>231</v>
      </c>
      <c r="B16" s="5" t="s">
        <v>232</v>
      </c>
      <c r="C16" s="5" t="s">
        <v>233</v>
      </c>
      <c r="D16" s="4" t="s">
        <v>217</v>
      </c>
      <c r="E16" s="18">
        <v>89</v>
      </c>
      <c r="F16" s="4">
        <f>RANK(E16, $E$8:$E$22)</f>
        <v>5</v>
      </c>
      <c r="G16" s="4" t="str">
        <f>IF(E16&gt;=80, "SHORTLISTED", "Below Threshold")</f>
        <v>SHORTLISTED</v>
      </c>
    </row>
    <row r="17" spans="1:7" x14ac:dyDescent="0.25">
      <c r="A17" s="4" t="s">
        <v>234</v>
      </c>
      <c r="B17" s="5" t="s">
        <v>235</v>
      </c>
      <c r="C17" s="5" t="s">
        <v>233</v>
      </c>
      <c r="D17" s="4" t="s">
        <v>217</v>
      </c>
      <c r="E17" s="18">
        <v>84</v>
      </c>
      <c r="F17" s="4">
        <f>RANK(E17, $E$8:$E$22)</f>
        <v>9</v>
      </c>
      <c r="G17" s="4" t="str">
        <f>IF(E17&gt;=80, "SHORTLISTED", "Below Threshold")</f>
        <v>SHORTLISTED</v>
      </c>
    </row>
    <row r="18" spans="1:7" x14ac:dyDescent="0.25">
      <c r="A18" s="4" t="s">
        <v>236</v>
      </c>
      <c r="B18" s="5" t="s">
        <v>237</v>
      </c>
      <c r="C18" s="5" t="s">
        <v>233</v>
      </c>
      <c r="D18" s="4" t="s">
        <v>223</v>
      </c>
      <c r="E18" s="18">
        <v>95</v>
      </c>
      <c r="F18" s="4">
        <f>RANK(E18, $E$8:$E$22)</f>
        <v>1</v>
      </c>
      <c r="G18" s="4" t="str">
        <f>IF(E18&gt;=80, "SHORTLISTED", "Below Threshold")</f>
        <v>SHORTLISTED</v>
      </c>
    </row>
    <row r="19" spans="1:7" x14ac:dyDescent="0.25">
      <c r="A19" s="4" t="s">
        <v>238</v>
      </c>
      <c r="B19" s="5" t="s">
        <v>106</v>
      </c>
      <c r="C19" s="5" t="s">
        <v>233</v>
      </c>
      <c r="D19" s="4" t="s">
        <v>223</v>
      </c>
      <c r="E19" s="18">
        <v>79</v>
      </c>
      <c r="F19" s="4">
        <f>RANK(E19, $E$8:$E$22)</f>
        <v>12</v>
      </c>
      <c r="G19" s="4" t="str">
        <f>IF(E19&gt;=80, "SHORTLISTED", "Below Threshold")</f>
        <v>Below Threshold</v>
      </c>
    </row>
    <row r="20" spans="1:7" x14ac:dyDescent="0.25">
      <c r="A20" s="4" t="s">
        <v>239</v>
      </c>
      <c r="B20" s="5" t="s">
        <v>240</v>
      </c>
      <c r="C20" s="5" t="s">
        <v>233</v>
      </c>
      <c r="D20" s="4" t="s">
        <v>227</v>
      </c>
      <c r="E20" s="18">
        <v>86</v>
      </c>
      <c r="F20" s="4">
        <f>RANK(E20, $E$8:$E$22)</f>
        <v>7</v>
      </c>
      <c r="G20" s="4" t="str">
        <f>IF(E20&gt;=80, "SHORTLISTED", "Below Threshold")</f>
        <v>SHORTLISTED</v>
      </c>
    </row>
    <row r="21" spans="1:7" x14ac:dyDescent="0.25">
      <c r="A21" s="4" t="s">
        <v>241</v>
      </c>
      <c r="B21" s="5" t="s">
        <v>242</v>
      </c>
      <c r="C21" s="5" t="s">
        <v>233</v>
      </c>
      <c r="D21" s="4" t="s">
        <v>227</v>
      </c>
      <c r="E21" s="18">
        <v>81</v>
      </c>
      <c r="F21" s="4">
        <f>RANK(E21, $E$8:$E$22)</f>
        <v>11</v>
      </c>
      <c r="G21" s="4" t="str">
        <f>IF(E21&gt;=80, "SHORTLISTED", "Below Threshold")</f>
        <v>SHORTLISTED</v>
      </c>
    </row>
    <row r="22" spans="1:7" x14ac:dyDescent="0.25">
      <c r="A22" s="4" t="s">
        <v>243</v>
      </c>
      <c r="B22" s="5" t="s">
        <v>113</v>
      </c>
      <c r="C22" s="5" t="s">
        <v>233</v>
      </c>
      <c r="D22" s="4" t="s">
        <v>227</v>
      </c>
      <c r="E22" s="18">
        <v>74</v>
      </c>
      <c r="F22" s="4">
        <f>RANK(E22, $E$8:$E$22)</f>
        <v>15</v>
      </c>
      <c r="G22" s="4" t="str">
        <f>IF(E22&gt;=80, "SHORTLISTED", "Below Threshold")</f>
        <v>Below Threshold</v>
      </c>
    </row>
  </sheetData>
  <autoFilter ref="A7:G22" xr:uid="{00000000-0009-0000-0000-000004000000}"/>
  <mergeCells count="1">
    <mergeCell ref="A3:H5"/>
  </mergeCells>
  <conditionalFormatting sqref="G8:G22">
    <cfRule type="expression" dxfId="7" priority="1">
      <formula>$G8="SHORTLISTED"</formula>
    </cfRule>
    <cfRule type="expression" dxfId="6" priority="2">
      <formula>$G8="Below Threshold"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19" sqref="E19"/>
    </sheetView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20" customWidth="1"/>
    <col min="5" max="5" width="15" customWidth="1"/>
    <col min="6" max="6" width="18" customWidth="1"/>
    <col min="7" max="8" width="16" customWidth="1"/>
    <col min="9" max="9" width="22" customWidth="1"/>
  </cols>
  <sheetData>
    <row r="1" spans="1:9" ht="21" customHeight="1" x14ac:dyDescent="0.35">
      <c r="A1" s="1" t="s">
        <v>244</v>
      </c>
    </row>
    <row r="3" spans="1:9" x14ac:dyDescent="0.25">
      <c r="A3" s="21" t="s">
        <v>245</v>
      </c>
      <c r="B3" s="22"/>
      <c r="C3" s="22"/>
      <c r="D3" s="22"/>
      <c r="E3" s="22"/>
      <c r="F3" s="22"/>
      <c r="G3" s="22"/>
      <c r="H3" s="22"/>
      <c r="I3" s="23"/>
    </row>
    <row r="4" spans="1:9" x14ac:dyDescent="0.25">
      <c r="A4" s="24"/>
      <c r="B4" s="25"/>
      <c r="C4" s="25"/>
      <c r="D4" s="25"/>
      <c r="E4" s="25"/>
      <c r="F4" s="25"/>
      <c r="G4" s="25"/>
      <c r="H4" s="25"/>
      <c r="I4" s="26"/>
    </row>
    <row r="5" spans="1:9" ht="33.75" customHeight="1" x14ac:dyDescent="0.25">
      <c r="A5" s="27"/>
      <c r="B5" s="28"/>
      <c r="C5" s="28"/>
      <c r="D5" s="28"/>
      <c r="E5" s="28"/>
      <c r="F5" s="28"/>
      <c r="G5" s="28"/>
      <c r="H5" s="28"/>
      <c r="I5" s="29"/>
    </row>
    <row r="7" spans="1:9" x14ac:dyDescent="0.25">
      <c r="A7" s="3" t="s">
        <v>246</v>
      </c>
      <c r="B7" s="3" t="s">
        <v>247</v>
      </c>
      <c r="C7" s="3" t="s">
        <v>121</v>
      </c>
      <c r="D7" s="3" t="s">
        <v>248</v>
      </c>
      <c r="E7" s="3" t="s">
        <v>249</v>
      </c>
      <c r="F7" s="3" t="s">
        <v>250</v>
      </c>
      <c r="G7" s="3" t="s">
        <v>251</v>
      </c>
      <c r="H7" s="3" t="s">
        <v>252</v>
      </c>
      <c r="I7" s="3" t="s">
        <v>253</v>
      </c>
    </row>
    <row r="8" spans="1:9" x14ac:dyDescent="0.25">
      <c r="A8" s="4" t="s">
        <v>254</v>
      </c>
      <c r="B8" s="5" t="s">
        <v>255</v>
      </c>
      <c r="C8" s="5" t="s">
        <v>256</v>
      </c>
      <c r="D8" s="5" t="s">
        <v>257</v>
      </c>
      <c r="E8" s="13">
        <v>46204</v>
      </c>
      <c r="F8" s="17">
        <v>85000</v>
      </c>
      <c r="G8" s="4" t="s">
        <v>258</v>
      </c>
      <c r="H8" s="4" t="s">
        <v>259</v>
      </c>
      <c r="I8" s="4" t="str">
        <f t="shared" ref="I8:I19" si="0">IF(H8="Unpaid", "FOLLOW-UP RECOVERY", "Clear")</f>
        <v>Clear</v>
      </c>
    </row>
    <row r="9" spans="1:9" x14ac:dyDescent="0.25">
      <c r="A9" s="4" t="s">
        <v>260</v>
      </c>
      <c r="B9" s="5" t="s">
        <v>261</v>
      </c>
      <c r="C9" s="5" t="s">
        <v>262</v>
      </c>
      <c r="D9" s="5" t="s">
        <v>263</v>
      </c>
      <c r="E9" s="13">
        <v>46206</v>
      </c>
      <c r="F9" s="17">
        <v>140000</v>
      </c>
      <c r="G9" s="4" t="s">
        <v>258</v>
      </c>
      <c r="H9" s="4" t="s">
        <v>264</v>
      </c>
      <c r="I9" s="4" t="str">
        <f t="shared" si="0"/>
        <v>FOLLOW-UP RECOVERY</v>
      </c>
    </row>
    <row r="10" spans="1:9" x14ac:dyDescent="0.25">
      <c r="A10" s="4" t="s">
        <v>265</v>
      </c>
      <c r="B10" s="5" t="s">
        <v>266</v>
      </c>
      <c r="C10" s="5" t="s">
        <v>267</v>
      </c>
      <c r="D10" s="5" t="s">
        <v>268</v>
      </c>
      <c r="E10" s="13">
        <v>46208</v>
      </c>
      <c r="F10" s="17">
        <v>45000</v>
      </c>
      <c r="G10" s="4" t="s">
        <v>269</v>
      </c>
      <c r="H10" s="4" t="s">
        <v>264</v>
      </c>
      <c r="I10" s="4" t="str">
        <f t="shared" si="0"/>
        <v>FOLLOW-UP RECOVERY</v>
      </c>
    </row>
    <row r="11" spans="1:9" x14ac:dyDescent="0.25">
      <c r="A11" s="4" t="s">
        <v>270</v>
      </c>
      <c r="B11" s="5" t="s">
        <v>271</v>
      </c>
      <c r="C11" s="5" t="s">
        <v>272</v>
      </c>
      <c r="D11" s="5" t="s">
        <v>273</v>
      </c>
      <c r="E11" s="13">
        <v>46211</v>
      </c>
      <c r="F11" s="17">
        <v>25000</v>
      </c>
      <c r="G11" s="4" t="s">
        <v>258</v>
      </c>
      <c r="H11" s="4" t="s">
        <v>259</v>
      </c>
      <c r="I11" s="4" t="str">
        <f t="shared" si="0"/>
        <v>Clear</v>
      </c>
    </row>
    <row r="12" spans="1:9" x14ac:dyDescent="0.25">
      <c r="A12" s="4" t="s">
        <v>274</v>
      </c>
      <c r="B12" s="5" t="s">
        <v>275</v>
      </c>
      <c r="C12" s="5" t="s">
        <v>276</v>
      </c>
      <c r="D12" s="5" t="s">
        <v>277</v>
      </c>
      <c r="E12" s="13">
        <v>46213</v>
      </c>
      <c r="F12" s="17">
        <v>250000</v>
      </c>
      <c r="G12" s="4" t="s">
        <v>258</v>
      </c>
      <c r="H12" s="4" t="s">
        <v>264</v>
      </c>
      <c r="I12" s="4" t="str">
        <f t="shared" si="0"/>
        <v>FOLLOW-UP RECOVERY</v>
      </c>
    </row>
    <row r="13" spans="1:9" x14ac:dyDescent="0.25">
      <c r="A13" s="4" t="s">
        <v>278</v>
      </c>
      <c r="B13" s="5" t="s">
        <v>279</v>
      </c>
      <c r="C13" s="5" t="s">
        <v>256</v>
      </c>
      <c r="D13" s="5" t="s">
        <v>257</v>
      </c>
      <c r="E13" s="13">
        <v>46215</v>
      </c>
      <c r="F13" s="17">
        <v>75000</v>
      </c>
      <c r="G13" s="4" t="s">
        <v>269</v>
      </c>
      <c r="H13" s="4" t="s">
        <v>259</v>
      </c>
      <c r="I13" s="4" t="str">
        <f t="shared" si="0"/>
        <v>Clear</v>
      </c>
    </row>
    <row r="14" spans="1:9" x14ac:dyDescent="0.25">
      <c r="A14" s="4" t="s">
        <v>280</v>
      </c>
      <c r="B14" s="5" t="s">
        <v>281</v>
      </c>
      <c r="C14" s="5" t="s">
        <v>282</v>
      </c>
      <c r="D14" s="5" t="s">
        <v>283</v>
      </c>
      <c r="E14" s="13">
        <v>46217</v>
      </c>
      <c r="F14" s="17">
        <v>180000</v>
      </c>
      <c r="G14" s="4" t="s">
        <v>258</v>
      </c>
      <c r="H14" s="4" t="s">
        <v>264</v>
      </c>
      <c r="I14" s="4" t="str">
        <f t="shared" si="0"/>
        <v>FOLLOW-UP RECOVERY</v>
      </c>
    </row>
    <row r="15" spans="1:9" x14ac:dyDescent="0.25">
      <c r="A15" s="4" t="s">
        <v>284</v>
      </c>
      <c r="B15" s="5" t="s">
        <v>285</v>
      </c>
      <c r="C15" s="5" t="s">
        <v>286</v>
      </c>
      <c r="D15" s="5" t="s">
        <v>287</v>
      </c>
      <c r="E15" s="13">
        <v>46218</v>
      </c>
      <c r="F15" s="17">
        <v>18000</v>
      </c>
      <c r="G15" s="4" t="s">
        <v>269</v>
      </c>
      <c r="H15" s="4" t="s">
        <v>259</v>
      </c>
      <c r="I15" s="4" t="str">
        <f t="shared" si="0"/>
        <v>Clear</v>
      </c>
    </row>
    <row r="16" spans="1:9" x14ac:dyDescent="0.25">
      <c r="A16" s="4" t="s">
        <v>288</v>
      </c>
      <c r="B16" s="5" t="s">
        <v>289</v>
      </c>
      <c r="C16" s="5" t="s">
        <v>267</v>
      </c>
      <c r="D16" s="5" t="s">
        <v>268</v>
      </c>
      <c r="E16" s="13">
        <v>46221</v>
      </c>
      <c r="F16" s="17">
        <v>95000</v>
      </c>
      <c r="G16" s="4" t="s">
        <v>258</v>
      </c>
      <c r="H16" s="4" t="s">
        <v>264</v>
      </c>
      <c r="I16" s="4" t="str">
        <f t="shared" si="0"/>
        <v>FOLLOW-UP RECOVERY</v>
      </c>
    </row>
    <row r="17" spans="1:9" x14ac:dyDescent="0.25">
      <c r="A17" s="4" t="s">
        <v>290</v>
      </c>
      <c r="B17" s="5" t="s">
        <v>291</v>
      </c>
      <c r="C17" s="5" t="s">
        <v>262</v>
      </c>
      <c r="D17" s="5" t="s">
        <v>263</v>
      </c>
      <c r="E17" s="13">
        <v>46223</v>
      </c>
      <c r="F17" s="17">
        <v>110000</v>
      </c>
      <c r="G17" s="4" t="s">
        <v>258</v>
      </c>
      <c r="H17" s="4" t="s">
        <v>259</v>
      </c>
      <c r="I17" s="4" t="str">
        <f t="shared" si="0"/>
        <v>Clear</v>
      </c>
    </row>
    <row r="18" spans="1:9" x14ac:dyDescent="0.25">
      <c r="A18" s="4" t="s">
        <v>292</v>
      </c>
      <c r="B18" s="5" t="s">
        <v>293</v>
      </c>
      <c r="C18" s="5" t="s">
        <v>256</v>
      </c>
      <c r="D18" s="5" t="s">
        <v>257</v>
      </c>
      <c r="E18" s="13">
        <v>46225</v>
      </c>
      <c r="F18" s="17">
        <v>65000</v>
      </c>
      <c r="G18" s="4" t="s">
        <v>269</v>
      </c>
      <c r="H18" s="4" t="s">
        <v>264</v>
      </c>
      <c r="I18" s="4" t="str">
        <f t="shared" si="0"/>
        <v>FOLLOW-UP RECOVERY</v>
      </c>
    </row>
    <row r="19" spans="1:9" x14ac:dyDescent="0.25">
      <c r="A19" s="4" t="s">
        <v>294</v>
      </c>
      <c r="B19" s="5" t="s">
        <v>295</v>
      </c>
      <c r="C19" s="5" t="s">
        <v>282</v>
      </c>
      <c r="D19" s="5" t="s">
        <v>283</v>
      </c>
      <c r="E19" s="13">
        <v>46228</v>
      </c>
      <c r="F19" s="17">
        <v>195000</v>
      </c>
      <c r="G19" s="4" t="s">
        <v>258</v>
      </c>
      <c r="H19" s="4" t="s">
        <v>259</v>
      </c>
      <c r="I19" s="4" t="str">
        <f t="shared" si="0"/>
        <v>Clear</v>
      </c>
    </row>
  </sheetData>
  <autoFilter ref="A7:I19" xr:uid="{00000000-0009-0000-0000-000005000000}"/>
  <mergeCells count="1">
    <mergeCell ref="A3:I5"/>
  </mergeCells>
  <conditionalFormatting sqref="H8:H19">
    <cfRule type="expression" dxfId="5" priority="1">
      <formula>$H8="Unpaid"</formula>
    </cfRule>
    <cfRule type="expression" dxfId="4" priority="2">
      <formula>$H8="Paid"</formula>
    </cfRule>
  </conditionalFormatting>
  <conditionalFormatting sqref="I8:I19">
    <cfRule type="expression" dxfId="3" priority="3">
      <formula>$I8="FOLLOW-UP RECOVERY"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D26" sqref="D26"/>
    </sheetView>
  </sheetViews>
  <sheetFormatPr defaultRowHeight="15" x14ac:dyDescent="0.25"/>
  <cols>
    <col min="1" max="1" width="14" customWidth="1"/>
    <col min="2" max="2" width="30" customWidth="1"/>
    <col min="3" max="3" width="15" customWidth="1"/>
    <col min="4" max="5" width="25" customWidth="1"/>
    <col min="6" max="6" width="16" customWidth="1"/>
    <col min="7" max="8" width="22" customWidth="1"/>
  </cols>
  <sheetData>
    <row r="1" spans="1:8" ht="21" customHeight="1" x14ac:dyDescent="0.35">
      <c r="A1" s="1" t="s">
        <v>0</v>
      </c>
    </row>
    <row r="3" spans="1:8" x14ac:dyDescent="0.25">
      <c r="A3" s="21" t="s">
        <v>1</v>
      </c>
      <c r="B3" s="22"/>
      <c r="C3" s="22"/>
      <c r="D3" s="22"/>
      <c r="E3" s="22"/>
      <c r="F3" s="22"/>
      <c r="G3" s="22"/>
      <c r="H3" s="23"/>
    </row>
    <row r="4" spans="1:8" x14ac:dyDescent="0.25">
      <c r="A4" s="24"/>
      <c r="B4" s="25"/>
      <c r="C4" s="25"/>
      <c r="D4" s="25"/>
      <c r="E4" s="25"/>
      <c r="F4" s="25"/>
      <c r="G4" s="25"/>
      <c r="H4" s="26"/>
    </row>
    <row r="5" spans="1:8" ht="51" customHeight="1" x14ac:dyDescent="0.25">
      <c r="A5" s="27"/>
      <c r="B5" s="28"/>
      <c r="C5" s="28"/>
      <c r="D5" s="28"/>
      <c r="E5" s="28"/>
      <c r="F5" s="28"/>
      <c r="G5" s="28"/>
      <c r="H5" s="29"/>
    </row>
    <row r="7" spans="1:8" ht="30" customHeight="1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</row>
    <row r="8" spans="1:8" x14ac:dyDescent="0.25">
      <c r="A8" s="4" t="s">
        <v>10</v>
      </c>
      <c r="B8" s="5" t="s">
        <v>11</v>
      </c>
      <c r="C8" s="4" t="s">
        <v>12</v>
      </c>
      <c r="D8" s="19">
        <v>50000000</v>
      </c>
      <c r="E8" s="19">
        <v>58000000</v>
      </c>
      <c r="F8" s="7">
        <f t="shared" ref="F8:F18" si="0">E8/D8</f>
        <v>1.1599999999999999</v>
      </c>
      <c r="G8" s="4" t="str">
        <f t="shared" ref="G8:G17" si="1">IF(F8&gt;1.1, "Exceeds (&gt;110%)", IF(F8&gt;=0.9, "Meets (90%-110%)", "Below (&lt;90%)"))</f>
        <v>Exceeds (&gt;110%)</v>
      </c>
      <c r="H8" s="4" t="str">
        <f t="shared" ref="H8:H17" si="2">IF(F8&gt;1.1, "Award Bonus", IF(F8&gt;=0.9, "Maintain Standard", "Review Strategy"))</f>
        <v>Award Bonus</v>
      </c>
    </row>
    <row r="9" spans="1:8" x14ac:dyDescent="0.25">
      <c r="A9" s="4" t="s">
        <v>13</v>
      </c>
      <c r="B9" s="5" t="s">
        <v>14</v>
      </c>
      <c r="C9" s="4" t="s">
        <v>12</v>
      </c>
      <c r="D9" s="19">
        <v>45000000</v>
      </c>
      <c r="E9" s="19">
        <v>51000000</v>
      </c>
      <c r="F9" s="7">
        <f t="shared" si="0"/>
        <v>1.1333333333333333</v>
      </c>
      <c r="G9" s="4" t="str">
        <f t="shared" si="1"/>
        <v>Exceeds (&gt;110%)</v>
      </c>
      <c r="H9" s="4" t="str">
        <f t="shared" si="2"/>
        <v>Award Bonus</v>
      </c>
    </row>
    <row r="10" spans="1:8" x14ac:dyDescent="0.25">
      <c r="A10" s="4" t="s">
        <v>15</v>
      </c>
      <c r="B10" s="5" t="s">
        <v>16</v>
      </c>
      <c r="C10" s="4" t="s">
        <v>17</v>
      </c>
      <c r="D10" s="19">
        <v>30000000</v>
      </c>
      <c r="E10" s="19">
        <v>26000000</v>
      </c>
      <c r="F10" s="7">
        <f t="shared" si="0"/>
        <v>0.8666666666666667</v>
      </c>
      <c r="G10" s="4" t="str">
        <f t="shared" si="1"/>
        <v>Below (&lt;90%)</v>
      </c>
      <c r="H10" s="4" t="str">
        <f t="shared" si="2"/>
        <v>Review Strategy</v>
      </c>
    </row>
    <row r="11" spans="1:8" x14ac:dyDescent="0.25">
      <c r="A11" s="4" t="s">
        <v>18</v>
      </c>
      <c r="B11" s="5" t="s">
        <v>19</v>
      </c>
      <c r="C11" s="4" t="s">
        <v>20</v>
      </c>
      <c r="D11" s="19">
        <v>35000000</v>
      </c>
      <c r="E11" s="19">
        <v>35500000</v>
      </c>
      <c r="F11" s="7">
        <f>E11/D11</f>
        <v>1.0142857142857142</v>
      </c>
      <c r="G11" s="4" t="str">
        <f t="shared" si="1"/>
        <v>Meets (90%-110%)</v>
      </c>
      <c r="H11" s="4" t="str">
        <f t="shared" si="2"/>
        <v>Maintain Standard</v>
      </c>
    </row>
    <row r="12" spans="1:8" x14ac:dyDescent="0.25">
      <c r="A12" s="4" t="s">
        <v>21</v>
      </c>
      <c r="B12" s="5" t="s">
        <v>22</v>
      </c>
      <c r="C12" s="4" t="s">
        <v>12</v>
      </c>
      <c r="D12" s="19">
        <v>40000000</v>
      </c>
      <c r="E12" s="19">
        <v>34000000</v>
      </c>
      <c r="F12" s="7">
        <f t="shared" si="0"/>
        <v>0.85</v>
      </c>
      <c r="G12" s="4" t="str">
        <f t="shared" si="1"/>
        <v>Below (&lt;90%)</v>
      </c>
      <c r="H12" s="4" t="str">
        <f t="shared" si="2"/>
        <v>Review Strategy</v>
      </c>
    </row>
    <row r="13" spans="1:8" x14ac:dyDescent="0.25">
      <c r="A13" s="4" t="s">
        <v>23</v>
      </c>
      <c r="B13" s="5" t="s">
        <v>24</v>
      </c>
      <c r="C13" s="4" t="s">
        <v>20</v>
      </c>
      <c r="D13" s="19">
        <v>25000000</v>
      </c>
      <c r="E13" s="19">
        <v>28000000</v>
      </c>
      <c r="F13" s="7">
        <f t="shared" si="0"/>
        <v>1.1200000000000001</v>
      </c>
      <c r="G13" s="4" t="str">
        <f t="shared" si="1"/>
        <v>Exceeds (&gt;110%)</v>
      </c>
      <c r="H13" s="4" t="str">
        <f t="shared" si="2"/>
        <v>Award Bonus</v>
      </c>
    </row>
    <row r="14" spans="1:8" x14ac:dyDescent="0.25">
      <c r="A14" s="4" t="s">
        <v>25</v>
      </c>
      <c r="B14" s="5" t="s">
        <v>26</v>
      </c>
      <c r="C14" s="4" t="s">
        <v>20</v>
      </c>
      <c r="D14" s="19">
        <v>38000000</v>
      </c>
      <c r="E14" s="19">
        <v>43000000</v>
      </c>
      <c r="F14" s="7">
        <f t="shared" si="0"/>
        <v>1.131578947368421</v>
      </c>
      <c r="G14" s="4" t="str">
        <f t="shared" si="1"/>
        <v>Exceeds (&gt;110%)</v>
      </c>
      <c r="H14" s="4" t="str">
        <f t="shared" si="2"/>
        <v>Award Bonus</v>
      </c>
    </row>
    <row r="15" spans="1:8" x14ac:dyDescent="0.25">
      <c r="A15" s="4" t="s">
        <v>27</v>
      </c>
      <c r="B15" s="5" t="s">
        <v>28</v>
      </c>
      <c r="C15" s="4" t="s">
        <v>29</v>
      </c>
      <c r="D15" s="19">
        <v>28000000</v>
      </c>
      <c r="E15" s="19">
        <v>24000000</v>
      </c>
      <c r="F15" s="7">
        <f t="shared" si="0"/>
        <v>0.8571428571428571</v>
      </c>
      <c r="G15" s="4" t="str">
        <f t="shared" si="1"/>
        <v>Below (&lt;90%)</v>
      </c>
      <c r="H15" s="4" t="str">
        <f t="shared" si="2"/>
        <v>Review Strategy</v>
      </c>
    </row>
    <row r="16" spans="1:8" x14ac:dyDescent="0.25">
      <c r="A16" s="4" t="s">
        <v>30</v>
      </c>
      <c r="B16" s="5" t="s">
        <v>31</v>
      </c>
      <c r="C16" s="4" t="s">
        <v>12</v>
      </c>
      <c r="D16" s="19">
        <v>60000000</v>
      </c>
      <c r="E16" s="19">
        <v>69000000</v>
      </c>
      <c r="F16" s="7">
        <f t="shared" si="0"/>
        <v>1.1499999999999999</v>
      </c>
      <c r="G16" s="4" t="str">
        <f t="shared" si="1"/>
        <v>Exceeds (&gt;110%)</v>
      </c>
      <c r="H16" s="4" t="str">
        <f t="shared" si="2"/>
        <v>Award Bonus</v>
      </c>
    </row>
    <row r="17" spans="1:8" x14ac:dyDescent="0.25">
      <c r="A17" s="4" t="s">
        <v>32</v>
      </c>
      <c r="B17" s="5" t="s">
        <v>33</v>
      </c>
      <c r="C17" s="4" t="s">
        <v>17</v>
      </c>
      <c r="D17" s="19">
        <v>22000000</v>
      </c>
      <c r="E17" s="19">
        <v>21500000</v>
      </c>
      <c r="F17" s="7">
        <f t="shared" si="0"/>
        <v>0.97727272727272729</v>
      </c>
      <c r="G17" s="4" t="str">
        <f t="shared" si="1"/>
        <v>Meets (90%-110%)</v>
      </c>
      <c r="H17" s="4" t="str">
        <f t="shared" si="2"/>
        <v>Maintain Standard</v>
      </c>
    </row>
    <row r="18" spans="1:8" x14ac:dyDescent="0.25">
      <c r="A18" s="8"/>
      <c r="B18" s="9" t="s">
        <v>34</v>
      </c>
      <c r="C18" s="8"/>
      <c r="D18" s="10">
        <f>SUM(D8:D17)</f>
        <v>373000000</v>
      </c>
      <c r="E18" s="10">
        <f>SUM(E8:E17)</f>
        <v>390000000</v>
      </c>
      <c r="F18" s="20">
        <f t="shared" si="0"/>
        <v>1.0455764075067024</v>
      </c>
      <c r="G18" s="8"/>
      <c r="H18" s="8"/>
    </row>
  </sheetData>
  <mergeCells count="1">
    <mergeCell ref="A3:H5"/>
  </mergeCells>
  <conditionalFormatting sqref="F8:G17">
    <cfRule type="expression" dxfId="2" priority="1">
      <formula>$F8&gt;1.1</formula>
    </cfRule>
    <cfRule type="expression" dxfId="1" priority="2">
      <formula>AND($F8&gt;=0.9, $F8&lt;=1.1)</formula>
    </cfRule>
    <cfRule type="expression" dxfId="0" priority="3">
      <formula>$F8&lt;0.9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1. Sales Exception Monitoring</vt:lpstr>
      <vt:lpstr>2. Overdue Order Dashboard</vt:lpstr>
      <vt:lpstr>3. Leave Application System</vt:lpstr>
      <vt:lpstr>4. Dependent Dropdown System</vt:lpstr>
      <vt:lpstr>5. Admission Data Cleaning</vt:lpstr>
      <vt:lpstr>6. Hospital Patient Analysis</vt:lpstr>
      <vt:lpstr>8. Branch Deposit Comparison</vt:lpstr>
      <vt:lpstr>Electronics</vt:lpstr>
      <vt:lpstr>Furniture</vt:lpstr>
      <vt:lpstr>Stationery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Patil</cp:lastModifiedBy>
  <dcterms:created xsi:type="dcterms:W3CDTF">2026-07-29T13:11:20Z</dcterms:created>
  <dcterms:modified xsi:type="dcterms:W3CDTF">2026-08-29T07:13:04Z</dcterms:modified>
</cp:coreProperties>
</file>