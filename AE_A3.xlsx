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MCA\Assignments\SYMCA\Sem-3\AE\Assignment-1\"/>
    </mc:Choice>
  </mc:AlternateContent>
  <xr:revisionPtr revIDLastSave="0" documentId="13_ncr:1_{838A5166-F07C-4EB0-8537-10695534DF3F}" xr6:coauthVersionLast="47" xr6:coauthVersionMax="47" xr10:uidLastSave="{00000000-0000-0000-0000-000000000000}"/>
  <bookViews>
    <workbookView xWindow="-120" yWindow="-120" windowWidth="29040" windowHeight="15720" firstSheet="3" activeTab="5" xr2:uid="{00000000-000D-0000-FFFF-FFFF00000000}"/>
  </bookViews>
  <sheets>
    <sheet name="1. Regional Sales Pivot" sheetId="1" r:id="rId1"/>
    <sheet name="2. Category Trend Pivot" sheetId="2" r:id="rId2"/>
    <sheet name="3. Placement Grouping Pivot" sheetId="3" r:id="rId3"/>
    <sheet name="4. Inventory Slicer Dashboard" sheetId="4" r:id="rId4"/>
    <sheet name="5. Attendance Pivot Report" sheetId="5" r:id="rId5"/>
    <sheet name="6. VBA Macro Automation" sheetId="6" r:id="rId6"/>
  </sheets>
  <definedNames>
    <definedName name="_xlnm._FilterDatabase" localSheetId="0" hidden="1">'1. Regional Sales Pivot'!$A$7:$G$22</definedName>
    <definedName name="_xlnm._FilterDatabase" localSheetId="2" hidden="1">'3. Placement Grouping Pivot'!$A$7:$G$19</definedName>
    <definedName name="_xlnm._FilterDatabase" localSheetId="3" hidden="1">'4. Inventory Slicer Dashboard'!$A$7:$I$17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6" l="1"/>
  <c r="C17" i="6"/>
  <c r="E16" i="6"/>
  <c r="E15" i="6"/>
  <c r="E14" i="6"/>
  <c r="E13" i="6"/>
  <c r="E12" i="6"/>
  <c r="E11" i="6"/>
  <c r="E10" i="6"/>
  <c r="D18" i="5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G19" i="3"/>
  <c r="F19" i="3"/>
  <c r="G18" i="3"/>
  <c r="F18" i="3"/>
  <c r="G17" i="3"/>
  <c r="F17" i="3"/>
  <c r="G16" i="3"/>
  <c r="F16" i="3"/>
  <c r="G15" i="3"/>
  <c r="F15" i="3"/>
  <c r="G14" i="3"/>
  <c r="F14" i="3"/>
  <c r="K13" i="3"/>
  <c r="J13" i="3"/>
  <c r="G13" i="3"/>
  <c r="F13" i="3"/>
  <c r="K12" i="3"/>
  <c r="J12" i="3"/>
  <c r="G12" i="3"/>
  <c r="F12" i="3"/>
  <c r="K11" i="3"/>
  <c r="J11" i="3"/>
  <c r="G11" i="3"/>
  <c r="F11" i="3"/>
  <c r="K10" i="3"/>
  <c r="J10" i="3"/>
  <c r="G10" i="3"/>
  <c r="F10" i="3"/>
  <c r="K9" i="3"/>
  <c r="K14" i="3" s="1"/>
  <c r="J9" i="3"/>
  <c r="J14" i="3" s="1"/>
  <c r="G9" i="3"/>
  <c r="F9" i="3"/>
  <c r="G8" i="3"/>
  <c r="F8" i="3"/>
  <c r="G12" i="2"/>
  <c r="F12" i="2"/>
  <c r="E12" i="2"/>
  <c r="D12" i="2"/>
  <c r="C12" i="2"/>
  <c r="B12" i="2"/>
  <c r="H11" i="2"/>
  <c r="H10" i="2"/>
  <c r="H9" i="2"/>
  <c r="H8" i="2"/>
  <c r="H12" i="2" s="1"/>
  <c r="G22" i="1"/>
  <c r="G21" i="1"/>
  <c r="G20" i="1"/>
  <c r="G19" i="1"/>
  <c r="G18" i="1"/>
  <c r="G17" i="1"/>
  <c r="G16" i="1"/>
  <c r="G15" i="1"/>
  <c r="G14" i="1"/>
  <c r="J13" i="1"/>
  <c r="G13" i="1"/>
  <c r="J12" i="1"/>
  <c r="G12" i="1"/>
  <c r="G11" i="1"/>
  <c r="G10" i="1"/>
  <c r="J11" i="1" s="1"/>
  <c r="G9" i="1"/>
  <c r="J10" i="1" s="1"/>
  <c r="G8" i="1"/>
  <c r="J9" i="1" s="1"/>
  <c r="J14" i="1" s="1"/>
</calcChain>
</file>

<file path=xl/sharedStrings.xml><?xml version="1.0" encoding="utf-8"?>
<sst xmlns="http://schemas.openxmlformats.org/spreadsheetml/2006/main" count="294" uniqueCount="186">
  <si>
    <t>MANAGERIAL INSIGHTS &amp; PIVOT SUMMARY ANALYSIS:
• Top 3 Performing Regions: Western (Mumbai/Pune) leads with ₹4,19,50,000, followed by Southern (Bengaluru/Chennai) at ₹3,84,00,000 and Northern (Delhi/NCR) at ₹2,95,00,000.
• Filter &amp; Slicer Analysis: Applying a filter for 'Electronics' reveals that Western India generates over 45% of total high-margin enterprise revenue.
• Resource Allocation: Management can use this summary to redeploy sales executives from underperforming Eastern zones to high-velocity Western hubs.</t>
  </si>
  <si>
    <t>Transaction Date</t>
  </si>
  <si>
    <t>Region</t>
  </si>
  <si>
    <t>Product Category</t>
  </si>
  <si>
    <t>Salesperson Name</t>
  </si>
  <si>
    <t>Unit Price (₹)</t>
  </si>
  <si>
    <t>Quantity Sold</t>
  </si>
  <si>
    <t>Total Sales Amount (₹)</t>
  </si>
  <si>
    <t>PIVOT TABLE SUMMARY: REGION-WISE SALES</t>
  </si>
  <si>
    <t>Western India (Mumbai / Pune)</t>
  </si>
  <si>
    <t>Electronics</t>
  </si>
  <si>
    <t>Aarav Sharma</t>
  </si>
  <si>
    <t>Region Name</t>
  </si>
  <si>
    <t>Performance Rank / Insight</t>
  </si>
  <si>
    <t>Southern India (Bengaluru / Chennai)</t>
  </si>
  <si>
    <t>Priya Nair</t>
  </si>
  <si>
    <t>Rank 1 - Top Performing Zone</t>
  </si>
  <si>
    <t>Northern India (Delhi / NCR)</t>
  </si>
  <si>
    <t>Rohan Mehta</t>
  </si>
  <si>
    <t>Rank 2 - Top Performing Zone</t>
  </si>
  <si>
    <t>Furniture</t>
  </si>
  <si>
    <t>Ananya Iyer</t>
  </si>
  <si>
    <t>Rank 3 - Top Performing Zone</t>
  </si>
  <si>
    <t>Eastern India (Kolkata / Bhubaneswar)</t>
  </si>
  <si>
    <t>Vikram Patel</t>
  </si>
  <si>
    <t>Rank 4 - Growth Opportunity</t>
  </si>
  <si>
    <t>Networking</t>
  </si>
  <si>
    <t>Sneha Kulkarni</t>
  </si>
  <si>
    <t>Central India (Indore / Nagpur)</t>
  </si>
  <si>
    <t>Rank 5 - Emerging Market</t>
  </si>
  <si>
    <t>Stationery</t>
  </si>
  <si>
    <t>Aditya Deshmukh</t>
  </si>
  <si>
    <t>Grand Total</t>
  </si>
  <si>
    <t>100.0% National Coverage</t>
  </si>
  <si>
    <t>Pooja Hegde</t>
  </si>
  <si>
    <t>Siddharth Rao</t>
  </si>
  <si>
    <t>Neelam Joshi</t>
  </si>
  <si>
    <t>6-MONTH CATEGORY SALES TREND INTERPRETATION:
• Growing Category (Electronics): Consistent upward growth from April (₹1.80 Cr) to September (₹3.10 Cr), driven by Diwali/festival corporate hardware procurement.
• Declining Category (Stationery): Steady month-on-month decline from April (₹45 L) to September (₹28 L) due to increased office digitization and paperless workflow adoption.
• Irregular / Cyclical Performance (Furniture &amp; Networking): Displays sharp spikes in June and August coinciding with quarterly IT infrastructure upgrade cycles.</t>
  </si>
  <si>
    <t>Apr-2026 (₹)</t>
  </si>
  <si>
    <t>May-2026 (₹)</t>
  </si>
  <si>
    <t>Jun-2026 (₹)</t>
  </si>
  <si>
    <t>Jul-2026 (₹)</t>
  </si>
  <si>
    <t>Aug-2026 (₹)</t>
  </si>
  <si>
    <t>Sep-2026 (₹)</t>
  </si>
  <si>
    <t>6-Month Total (₹)</t>
  </si>
  <si>
    <t>Trend Interpretation</t>
  </si>
  <si>
    <t>Growing - Robust Upward Growth</t>
  </si>
  <si>
    <t>Irregular - Quarterly Upgrade Spikes</t>
  </si>
  <si>
    <t>Irregular - Project-Driven Cycles</t>
  </si>
  <si>
    <t>Declining - Digitization Impact</t>
  </si>
  <si>
    <t>Total Monthly Sales</t>
  </si>
  <si>
    <t>National Sales Aggregation</t>
  </si>
  <si>
    <t>PLACEMENT GROUPING &amp; FILTERING CASE STUDY:
• Monthly &amp; Company Grouping: Summarizes student placements grouped hierarchically by Placement Month (July, August, September) and Recruiting Organization.
• Package Level Filtering: Highlights students selected for 'Premium Package Level (&gt;= ₹12.0 LPA)' versus 'Standard Core Level'.
• Executive Summary: Provides total placement count per company and computes the Average CTC Offered (=AVERAGEIF) for institutional NAAC accreditation reporting.</t>
  </si>
  <si>
    <t>Student ID</t>
  </si>
  <si>
    <t>Student Name</t>
  </si>
  <si>
    <t>Recruiting Company</t>
  </si>
  <si>
    <t>Placement Date</t>
  </si>
  <si>
    <t>Package Offered (₹ LPA)</t>
  </si>
  <si>
    <t>Placement Month Group</t>
  </si>
  <si>
    <t>Package Level Filter</t>
  </si>
  <si>
    <t>PIVOT SUMMARY: COMPANY-WISE PLACEMENT STATS</t>
  </si>
  <si>
    <t>PLC-101</t>
  </si>
  <si>
    <t>Accenture India</t>
  </si>
  <si>
    <t>Total Students Placed</t>
  </si>
  <si>
    <t>Average Package Offered (₹ LPA)</t>
  </si>
  <si>
    <t>PLC-102</t>
  </si>
  <si>
    <t>Tata Consultancy Services</t>
  </si>
  <si>
    <t>PLC-103</t>
  </si>
  <si>
    <t>Infosys Limited</t>
  </si>
  <si>
    <t>PLC-104</t>
  </si>
  <si>
    <t>Wipro Technologies</t>
  </si>
  <si>
    <t>PLC-105</t>
  </si>
  <si>
    <t>Cognizant India</t>
  </si>
  <si>
    <t>PLC-106</t>
  </si>
  <si>
    <t>PLC-107</t>
  </si>
  <si>
    <t>Total Institutional Placements</t>
  </si>
  <si>
    <t>PLC-108</t>
  </si>
  <si>
    <t>PLC-109</t>
  </si>
  <si>
    <t>PLC-110</t>
  </si>
  <si>
    <t>PLC-111</t>
  </si>
  <si>
    <t>Karthik Aryan</t>
  </si>
  <si>
    <t>PLC-112</t>
  </si>
  <si>
    <t>Divya Pillai</t>
  </si>
  <si>
    <t>WAREHOUSE INVENTORY DASHBOARD &amp; SLICER ARCHITECTURE:
• Category &amp; Monthly Stock Movement: Pivot modeling calculates Net Movement (=Inward Qty - Outward Qty) and Closing Balance across months.
• Interactive Slicer Design: In an interactive Excel environment, users insert Slicers for 'Supplier Name' and 'Product Category' to instantly filter inward/outward volumes by vendor or commodity.
• Operational Value: Identifies fast-moving stock (High Outward Qty) vs stagnant inventory buildup to optimize warehouse reorder levels.</t>
  </si>
  <si>
    <t>Record ID</t>
  </si>
  <si>
    <t>Item Name</t>
  </si>
  <si>
    <t>Category</t>
  </si>
  <si>
    <t>Supplier Name</t>
  </si>
  <si>
    <t>Month of Record</t>
  </si>
  <si>
    <t>Inward Qty</t>
  </si>
  <si>
    <t>Outward Qty</t>
  </si>
  <si>
    <t>Net Stock Movement (In - Out)</t>
  </si>
  <si>
    <t>Stock Status Flag</t>
  </si>
  <si>
    <t>STK-501</t>
  </si>
  <si>
    <t>Enterprise Laptop 15inch</t>
  </si>
  <si>
    <t>July-2026</t>
  </si>
  <si>
    <t>STK-502</t>
  </si>
  <si>
    <t>Ergonomic Office Chair</t>
  </si>
  <si>
    <t>Office Furniture</t>
  </si>
  <si>
    <t>Godrej Interio India</t>
  </si>
  <si>
    <t>STK-503</t>
  </si>
  <si>
    <t>Wireless Gigabit Router</t>
  </si>
  <si>
    <t>IT Networking</t>
  </si>
  <si>
    <t>D-Link India Ltd</t>
  </si>
  <si>
    <t>STK-504</t>
  </si>
  <si>
    <t>A4 Copier Paper (Reams)</t>
  </si>
  <si>
    <t>Office Stationery</t>
  </si>
  <si>
    <t>JK Paper Mills Ltd</t>
  </si>
  <si>
    <t>STK-505</t>
  </si>
  <si>
    <t>August-2026</t>
  </si>
  <si>
    <t>STK-506</t>
  </si>
  <si>
    <t>Executive Office Desk</t>
  </si>
  <si>
    <t>STK-507</t>
  </si>
  <si>
    <t>42U Network Server Rack</t>
  </si>
  <si>
    <t>STK-508</t>
  </si>
  <si>
    <t>STK-509</t>
  </si>
  <si>
    <t>September-2026</t>
  </si>
  <si>
    <t>STK-510</t>
  </si>
  <si>
    <t>[X] JK Paper Mills Ltd</t>
  </si>
  <si>
    <t>ATTENDANCE MONITORING REPORT &amp; PIVOT CHART INSIGHTS:
• Subject-Wise &amp; Class-Wise Aggregation: Summarizes average attendance percentage across core MCA subjects (DSA, DBMS, Networking, Java, Software Engg).
• Identifying Defaulter Patterns: The Pivot Chart clearly reveals that 'Computer Networking' and 'Java Programming' suffer from the lowest attendance (&lt;72%), especially in morning classes.
• Corrective Action: Allows academic deans to issue targeted detention notices and schedule remedial sessions before university term-end examinations.</t>
  </si>
  <si>
    <t>Subject Name</t>
  </si>
  <si>
    <t>Class Division</t>
  </si>
  <si>
    <t>Total Students Enrolled</t>
  </si>
  <si>
    <t>Average Attendance %</t>
  </si>
  <si>
    <t>Institutional Status Flag</t>
  </si>
  <si>
    <t>Data Structures &amp; Algorithms</t>
  </si>
  <si>
    <t>MCA - Div A</t>
  </si>
  <si>
    <t>Satisfactory (&gt;=75%)</t>
  </si>
  <si>
    <t>MCA - Div B</t>
  </si>
  <si>
    <t>Database Management System</t>
  </si>
  <si>
    <t>Computer Networking</t>
  </si>
  <si>
    <t>CRITICAL DEFICIT (&lt;75%)</t>
  </si>
  <si>
    <t>Java Programming</t>
  </si>
  <si>
    <t>Software Engineering</t>
  </si>
  <si>
    <t>Institutional Average</t>
  </si>
  <si>
    <t>ADVANTAGES &amp; SEQUENCE OF VBA MACRO REPORT AUTOMATION:
• Sequence of Automated Tasks:
   1. Standardized Formatting: Automatically sets font family (Calibri), applies Dark Navy headers, and auto-fits column widths.
   2. Dynamic Totals Insertion: Identifies the last row of transaction data and inserts SUM formulas for total sales amounts.
   3. Automated Conditional Formatting: Highlights sales exceeding targets in Green and underperforming branches in Red without manual clicks.
   4. Summary Dashboard Generation: Creates a dedicated summary sheet consolidating monthly branch revenue.
• Business Benefit: Reduces monthly reporting turn-around time from 4 hours to 5 seconds while eliminating manual copy-paste errors.</t>
  </si>
  <si>
    <t>MONTHLY BRANCH SALES REPORT (TARGET FOR MACRO AUTOMATION)</t>
  </si>
  <si>
    <t>EMBEDDED VBA MACRO SCRIPT (FOR REPORT AUTOMATION)</t>
  </si>
  <si>
    <t>Branch Code</t>
  </si>
  <si>
    <t>Branch Location (City)</t>
  </si>
  <si>
    <t>Monthly Target (₹)</t>
  </si>
  <si>
    <t>Actual Monthly Sales (₹)</t>
  </si>
  <si>
    <t>Achievement Status (Automated via Macro)</t>
  </si>
  <si>
    <t>Sub AutomateMonthlyReport()</t>
  </si>
  <si>
    <t>BR-01</t>
  </si>
  <si>
    <t>Mumbai - Andheri West</t>
  </si>
  <si>
    <t xml:space="preserve">    ' 1. Declare variables &amp; find last data row</t>
  </si>
  <si>
    <t>BR-02</t>
  </si>
  <si>
    <t>Pune - Shivaji Nagar</t>
  </si>
  <si>
    <t xml:space="preserve">    Dim ws As Worksheet</t>
  </si>
  <si>
    <t>BR-03</t>
  </si>
  <si>
    <t>Bengaluru - MG Road</t>
  </si>
  <si>
    <t xml:space="preserve">    Dim lastRow As Long</t>
  </si>
  <si>
    <t>BR-04</t>
  </si>
  <si>
    <t>Delhi - Connaught Place</t>
  </si>
  <si>
    <t xml:space="preserve">    Set ws = ActiveSheet</t>
  </si>
  <si>
    <t>BR-05</t>
  </si>
  <si>
    <t>Hyderabad - Banjara Hills</t>
  </si>
  <si>
    <t xml:space="preserve">    lastRow = ws.Cells(ws.Rows.Count, "A").End(xlUp).Row</t>
  </si>
  <si>
    <t>BR-06</t>
  </si>
  <si>
    <t>Chennai - T. Nagar</t>
  </si>
  <si>
    <t xml:space="preserve">    </t>
  </si>
  <si>
    <t>BR-07</t>
  </si>
  <si>
    <t>Kolkata - Salt Lake</t>
  </si>
  <si>
    <t xml:space="preserve">    ' 2. Apply standard formatting &amp; borders</t>
  </si>
  <si>
    <t>Total Automated Payout</t>
  </si>
  <si>
    <t>Macro Automation Verified</t>
  </si>
  <si>
    <t xml:space="preserve">    ws.Range("A9:E9").Font.Bold = True</t>
  </si>
  <si>
    <t xml:space="preserve">    ws.Range("A9:E9").Interior.Color = RGB(31, 73, 125) ' Navy Header</t>
  </si>
  <si>
    <t xml:space="preserve">    ws.Range("A9:E9").Font.Color = RGB(255, 255, 255)</t>
  </si>
  <si>
    <t xml:space="preserve">    ' 3. Automatically insert SUM formulas at bottom</t>
  </si>
  <si>
    <t xml:space="preserve">    ws.Cells(lastRow + 1, 2).Value = "Total Automated Payout"</t>
  </si>
  <si>
    <t xml:space="preserve">    ws.Cells(lastRow + 1, 2).Font.Bold = True</t>
  </si>
  <si>
    <t xml:space="preserve">    ws.Cells(lastRow + 1, 3).Formula = "=SUM(C10:C" &amp; lastRow &amp; ")"</t>
  </si>
  <si>
    <t xml:space="preserve">    ws.Cells(lastRow + 1, 4).Formula = "=SUM(D10:D" &amp; lastRow &amp; ")"</t>
  </si>
  <si>
    <t xml:space="preserve">    ws.Range(ws.Cells(lastRow + 1, 3), ws.Cells(lastRow + 1, 4)).NumberFormat = "₹#,##0"</t>
  </si>
  <si>
    <t xml:space="preserve">    ' 4. Auto-fit columns for professional polish</t>
  </si>
  <si>
    <t xml:space="preserve">    ws.Columns("A:E").AutoFit</t>
  </si>
  <si>
    <t xml:space="preserve">    MsgBox "Monthly Sales Report Automated Successfully!", vbInformation</t>
  </si>
  <si>
    <t>End Sub</t>
  </si>
  <si>
    <t>Assignment 1: Regional Sales Performance Analysis using Pivot Table Modeling (India Operations)</t>
  </si>
  <si>
    <t>Assignment 2: 6-Month Product Category Sales Trend Analysis using Pivot Chart</t>
  </si>
  <si>
    <t>Assignment 3: Campus Placement Analysis with Monthly Grouping &amp; Package Filtering (India Campus)</t>
  </si>
  <si>
    <t>Assignment 4: Warehouse Stock Movement Dashboard using Pivot Table &amp; Slicer Controls</t>
  </si>
  <si>
    <t>Assignment 5: College Subject-Wise &amp; Class-Wise Attendance Monitoring Report (India Academic)</t>
  </si>
  <si>
    <t>Assignment 6: Monthly Sales Report Automation using Excel VBA Macros (Case Study)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</si>
</sst>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yyyy\-mm\-dd"/>
    <numFmt numFmtId="166" formatCode="\₹#,##0.0\ &quot;LPA&quot;"/>
    <numFmt numFmtId="167" formatCode="0.0%"/>
  </numFmts>
  <fonts count="10" x14ac:knownFonts="1">
    <font>
      <sz val="11"/>
      <color theme="1"/>
      <name val="Calibri"/>
      <family val="2"/>
      <scheme val="minor"/>
    </font>
    <font>
      <b/>
      <sz val="15"/>
      <color rgb="FF1F497D"/>
      <name val="Calibri"/>
    </font>
    <font>
      <i/>
      <sz val="10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sz val="11"/>
      <name val="Calibri"/>
    </font>
    <font>
      <b/>
      <sz val="11"/>
      <color rgb="FF9C6500"/>
      <name val="Calibri"/>
    </font>
    <font>
      <b/>
      <sz val="11"/>
      <color rgb="FF9C0006"/>
      <name val="Calibri"/>
    </font>
    <font>
      <sz val="10"/>
      <color rgb="FF002060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CE6F1"/>
        <bgColor rgb="FFDCE6F1"/>
      </patternFill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97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1" xfId="0" applyFont="1" applyBorder="1"/>
    <xf numFmtId="0" fontId="7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166" fontId="6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6" fontId="3" fillId="0" borderId="2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0" fillId="0" borderId="2" xfId="0" applyBorder="1"/>
    <xf numFmtId="167" fontId="3" fillId="0" borderId="2" xfId="0" applyNumberFormat="1" applyFont="1" applyBorder="1" applyAlignment="1">
      <alignment horizontal="right"/>
    </xf>
    <xf numFmtId="0" fontId="3" fillId="3" borderId="0" xfId="0" applyFont="1" applyFill="1"/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6" fillId="8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8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9" fillId="8" borderId="1" xfId="0" applyFont="1" applyFill="1" applyBorder="1"/>
    <xf numFmtId="0" fontId="4" fillId="4" borderId="0" xfId="0" applyFont="1" applyFill="1"/>
  </cellXfs>
  <cellStyles count="1">
    <cellStyle name="Normal" xfId="0" builtinId="0"/>
  </cellStyles>
  <dxfs count="7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6-Month Product Category Revenue Trend (₹)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Category Trend Pivot'!$A$7</c:f>
              <c:strCache>
                <c:ptCount val="1"/>
                <c:pt idx="0">
                  <c:v>Product Category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Category Trend Pivot'!$B$7:$G$7</c:f>
              <c:strCache>
                <c:ptCount val="6"/>
                <c:pt idx="0">
                  <c:v>Apr-2026 (₹)</c:v>
                </c:pt>
                <c:pt idx="1">
                  <c:v>May-2026 (₹)</c:v>
                </c:pt>
                <c:pt idx="2">
                  <c:v>Jun-2026 (₹)</c:v>
                </c:pt>
                <c:pt idx="3">
                  <c:v>Jul-2026 (₹)</c:v>
                </c:pt>
                <c:pt idx="4">
                  <c:v>Aug-2026 (₹)</c:v>
                </c:pt>
                <c:pt idx="5">
                  <c:v>Sep-2026 (₹)</c:v>
                </c:pt>
              </c:strCache>
            </c:strRef>
          </c:cat>
          <c:val>
            <c:numRef>
              <c:f>'2. Category Trend Pivot'!$B$7:$G$7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9A-4CAE-931A-EC59EDC407F4}"/>
            </c:ext>
          </c:extLst>
        </c:ser>
        <c:ser>
          <c:idx val="1"/>
          <c:order val="1"/>
          <c:tx>
            <c:strRef>
              <c:f>'2. Category Trend Pivot'!$A$8</c:f>
              <c:strCache>
                <c:ptCount val="1"/>
                <c:pt idx="0">
                  <c:v>Electronics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Category Trend Pivot'!$B$7:$G$7</c:f>
              <c:strCache>
                <c:ptCount val="6"/>
                <c:pt idx="0">
                  <c:v>Apr-2026 (₹)</c:v>
                </c:pt>
                <c:pt idx="1">
                  <c:v>May-2026 (₹)</c:v>
                </c:pt>
                <c:pt idx="2">
                  <c:v>Jun-2026 (₹)</c:v>
                </c:pt>
                <c:pt idx="3">
                  <c:v>Jul-2026 (₹)</c:v>
                </c:pt>
                <c:pt idx="4">
                  <c:v>Aug-2026 (₹)</c:v>
                </c:pt>
                <c:pt idx="5">
                  <c:v>Sep-2026 (₹)</c:v>
                </c:pt>
              </c:strCache>
            </c:strRef>
          </c:cat>
          <c:val>
            <c:numRef>
              <c:f>'2. Category Trend Pivot'!$B$8:$G$8</c:f>
              <c:numCache>
                <c:formatCode>\₹#,##0</c:formatCode>
                <c:ptCount val="6"/>
                <c:pt idx="0">
                  <c:v>18000000</c:v>
                </c:pt>
                <c:pt idx="1">
                  <c:v>21000000</c:v>
                </c:pt>
                <c:pt idx="2">
                  <c:v>24500000</c:v>
                </c:pt>
                <c:pt idx="3">
                  <c:v>26000000</c:v>
                </c:pt>
                <c:pt idx="4">
                  <c:v>28500000</c:v>
                </c:pt>
                <c:pt idx="5">
                  <c:v>31000000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9A-4CAE-931A-EC59EDC407F4}"/>
            </c:ext>
          </c:extLst>
        </c:ser>
        <c:ser>
          <c:idx val="2"/>
          <c:order val="2"/>
          <c:tx>
            <c:strRef>
              <c:f>'2. Category Trend Pivot'!$A$9</c:f>
              <c:strCache>
                <c:ptCount val="1"/>
                <c:pt idx="0">
                  <c:v>Furniture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Category Trend Pivot'!$B$7:$G$7</c:f>
              <c:strCache>
                <c:ptCount val="6"/>
                <c:pt idx="0">
                  <c:v>Apr-2026 (₹)</c:v>
                </c:pt>
                <c:pt idx="1">
                  <c:v>May-2026 (₹)</c:v>
                </c:pt>
                <c:pt idx="2">
                  <c:v>Jun-2026 (₹)</c:v>
                </c:pt>
                <c:pt idx="3">
                  <c:v>Jul-2026 (₹)</c:v>
                </c:pt>
                <c:pt idx="4">
                  <c:v>Aug-2026 (₹)</c:v>
                </c:pt>
                <c:pt idx="5">
                  <c:v>Sep-2026 (₹)</c:v>
                </c:pt>
              </c:strCache>
            </c:strRef>
          </c:cat>
          <c:val>
            <c:numRef>
              <c:f>'2. Category Trend Pivot'!$B$9:$G$9</c:f>
              <c:numCache>
                <c:formatCode>\₹#,##0</c:formatCode>
                <c:ptCount val="6"/>
                <c:pt idx="0">
                  <c:v>8500000</c:v>
                </c:pt>
                <c:pt idx="1">
                  <c:v>7800000</c:v>
                </c:pt>
                <c:pt idx="2">
                  <c:v>12500000</c:v>
                </c:pt>
                <c:pt idx="3">
                  <c:v>9200000</c:v>
                </c:pt>
                <c:pt idx="4">
                  <c:v>14000000</c:v>
                </c:pt>
                <c:pt idx="5">
                  <c:v>11500000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9A-4CAE-931A-EC59EDC407F4}"/>
            </c:ext>
          </c:extLst>
        </c:ser>
        <c:ser>
          <c:idx val="3"/>
          <c:order val="3"/>
          <c:tx>
            <c:strRef>
              <c:f>'2. Category Trend Pivot'!$A$10</c:f>
              <c:strCache>
                <c:ptCount val="1"/>
                <c:pt idx="0">
                  <c:v>Networking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Category Trend Pivot'!$B$7:$G$7</c:f>
              <c:strCache>
                <c:ptCount val="6"/>
                <c:pt idx="0">
                  <c:v>Apr-2026 (₹)</c:v>
                </c:pt>
                <c:pt idx="1">
                  <c:v>May-2026 (₹)</c:v>
                </c:pt>
                <c:pt idx="2">
                  <c:v>Jun-2026 (₹)</c:v>
                </c:pt>
                <c:pt idx="3">
                  <c:v>Jul-2026 (₹)</c:v>
                </c:pt>
                <c:pt idx="4">
                  <c:v>Aug-2026 (₹)</c:v>
                </c:pt>
                <c:pt idx="5">
                  <c:v>Sep-2026 (₹)</c:v>
                </c:pt>
              </c:strCache>
            </c:strRef>
          </c:cat>
          <c:val>
            <c:numRef>
              <c:f>'2. Category Trend Pivot'!$B$10:$G$10</c:f>
              <c:numCache>
                <c:formatCode>\₹#,##0</c:formatCode>
                <c:ptCount val="6"/>
                <c:pt idx="0">
                  <c:v>11000000</c:v>
                </c:pt>
                <c:pt idx="1">
                  <c:v>11500000</c:v>
                </c:pt>
                <c:pt idx="2">
                  <c:v>16000000</c:v>
                </c:pt>
                <c:pt idx="3">
                  <c:v>12000000</c:v>
                </c:pt>
                <c:pt idx="4">
                  <c:v>17500000</c:v>
                </c:pt>
                <c:pt idx="5">
                  <c:v>13000000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9A-4CAE-931A-EC59EDC407F4}"/>
            </c:ext>
          </c:extLst>
        </c:ser>
        <c:ser>
          <c:idx val="4"/>
          <c:order val="4"/>
          <c:tx>
            <c:strRef>
              <c:f>'2. Category Trend Pivot'!$A$11</c:f>
              <c:strCache>
                <c:ptCount val="1"/>
                <c:pt idx="0">
                  <c:v>Stationery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Category Trend Pivot'!$B$7:$G$7</c:f>
              <c:strCache>
                <c:ptCount val="6"/>
                <c:pt idx="0">
                  <c:v>Apr-2026 (₹)</c:v>
                </c:pt>
                <c:pt idx="1">
                  <c:v>May-2026 (₹)</c:v>
                </c:pt>
                <c:pt idx="2">
                  <c:v>Jun-2026 (₹)</c:v>
                </c:pt>
                <c:pt idx="3">
                  <c:v>Jul-2026 (₹)</c:v>
                </c:pt>
                <c:pt idx="4">
                  <c:v>Aug-2026 (₹)</c:v>
                </c:pt>
                <c:pt idx="5">
                  <c:v>Sep-2026 (₹)</c:v>
                </c:pt>
              </c:strCache>
            </c:strRef>
          </c:cat>
          <c:val>
            <c:numRef>
              <c:f>'2. Category Trend Pivot'!$B$11:$G$11</c:f>
              <c:numCache>
                <c:formatCode>\₹#,##0</c:formatCode>
                <c:ptCount val="6"/>
                <c:pt idx="0">
                  <c:v>4500000</c:v>
                </c:pt>
                <c:pt idx="1">
                  <c:v>4100000</c:v>
                </c:pt>
                <c:pt idx="2">
                  <c:v>3800000</c:v>
                </c:pt>
                <c:pt idx="3">
                  <c:v>3400000</c:v>
                </c:pt>
                <c:pt idx="4">
                  <c:v>3100000</c:v>
                </c:pt>
                <c:pt idx="5">
                  <c:v>2800000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9A-4CAE-931A-EC59EDC40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 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Subject-Wise Class Attendance Percentage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Attendance Pivot Report'!$D$7</c:f>
              <c:strCache>
                <c:ptCount val="1"/>
                <c:pt idx="0">
                  <c:v>Average Attendance %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'5. Attendance Pivot Report'!$A$8:$A$17</c:f>
              <c:strCache>
                <c:ptCount val="10"/>
                <c:pt idx="0">
                  <c:v>Data Structures &amp; Algorithms</c:v>
                </c:pt>
                <c:pt idx="1">
                  <c:v>Data Structures &amp; Algorithms</c:v>
                </c:pt>
                <c:pt idx="2">
                  <c:v>Database Management System</c:v>
                </c:pt>
                <c:pt idx="3">
                  <c:v>Database Management System</c:v>
                </c:pt>
                <c:pt idx="4">
                  <c:v>Computer Networking</c:v>
                </c:pt>
                <c:pt idx="5">
                  <c:v>Computer Networking</c:v>
                </c:pt>
                <c:pt idx="6">
                  <c:v>Java Programming</c:v>
                </c:pt>
                <c:pt idx="7">
                  <c:v>Java Programming</c:v>
                </c:pt>
                <c:pt idx="8">
                  <c:v>Software Engineering</c:v>
                </c:pt>
                <c:pt idx="9">
                  <c:v>Software Engineering</c:v>
                </c:pt>
              </c:strCache>
            </c:strRef>
          </c:cat>
          <c:val>
            <c:numRef>
              <c:f>'5. Attendance Pivot Report'!$D$8:$D$17</c:f>
              <c:numCache>
                <c:formatCode>0.0%</c:formatCode>
                <c:ptCount val="10"/>
                <c:pt idx="0">
                  <c:v>0.86</c:v>
                </c:pt>
                <c:pt idx="1">
                  <c:v>0.82</c:v>
                </c:pt>
                <c:pt idx="2">
                  <c:v>0.79</c:v>
                </c:pt>
                <c:pt idx="3">
                  <c:v>0.76</c:v>
                </c:pt>
                <c:pt idx="4">
                  <c:v>0.71</c:v>
                </c:pt>
                <c:pt idx="5">
                  <c:v>0.68</c:v>
                </c:pt>
                <c:pt idx="6">
                  <c:v>0.73</c:v>
                </c:pt>
                <c:pt idx="7">
                  <c:v>0.7</c:v>
                </c:pt>
                <c:pt idx="8">
                  <c:v>0.88</c:v>
                </c:pt>
                <c:pt idx="9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3-43C5-990E-48097F074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Subject &amp; Class Division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Attendance Percentage (%)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selection activeCell="A2" sqref="A2"/>
    </sheetView>
  </sheetViews>
  <sheetFormatPr defaultRowHeight="15" x14ac:dyDescent="0.25"/>
  <cols>
    <col min="1" max="1" width="16" customWidth="1"/>
    <col min="2" max="2" width="35" customWidth="1"/>
    <col min="3" max="3" width="18" customWidth="1"/>
    <col min="4" max="4" width="20" customWidth="1"/>
    <col min="5" max="5" width="16" customWidth="1"/>
    <col min="6" max="6" width="14" customWidth="1"/>
    <col min="7" max="7" width="22" customWidth="1"/>
    <col min="8" max="8" width="12" customWidth="1"/>
    <col min="9" max="9" width="35" customWidth="1"/>
    <col min="10" max="10" width="22" customWidth="1"/>
    <col min="11" max="11" width="28" customWidth="1"/>
  </cols>
  <sheetData>
    <row r="1" spans="1:11" ht="19.5" x14ac:dyDescent="0.3">
      <c r="A1" s="1" t="s">
        <v>180</v>
      </c>
    </row>
    <row r="3" spans="1:11" x14ac:dyDescent="0.25">
      <c r="A3" s="27" t="s">
        <v>0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27.7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7" spans="1:11" x14ac:dyDescent="0.2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I7" s="25" t="s">
        <v>8</v>
      </c>
      <c r="J7" s="26"/>
      <c r="K7" s="26"/>
    </row>
    <row r="8" spans="1:11" x14ac:dyDescent="0.25">
      <c r="A8" s="4">
        <v>46235</v>
      </c>
      <c r="B8" s="5" t="s">
        <v>9</v>
      </c>
      <c r="C8" s="5" t="s">
        <v>10</v>
      </c>
      <c r="D8" s="5" t="s">
        <v>11</v>
      </c>
      <c r="E8" s="6">
        <v>65000</v>
      </c>
      <c r="F8" s="7">
        <v>120</v>
      </c>
      <c r="G8" s="6">
        <f t="shared" ref="G8:G22" si="0">E8*F8</f>
        <v>7800000</v>
      </c>
      <c r="I8" s="3" t="s">
        <v>12</v>
      </c>
      <c r="J8" s="3" t="s">
        <v>7</v>
      </c>
      <c r="K8" s="3" t="s">
        <v>13</v>
      </c>
    </row>
    <row r="9" spans="1:11" x14ac:dyDescent="0.25">
      <c r="A9" s="4">
        <v>46237</v>
      </c>
      <c r="B9" s="5" t="s">
        <v>14</v>
      </c>
      <c r="C9" s="5" t="s">
        <v>10</v>
      </c>
      <c r="D9" s="5" t="s">
        <v>15</v>
      </c>
      <c r="E9" s="6">
        <v>65000</v>
      </c>
      <c r="F9" s="7">
        <v>110</v>
      </c>
      <c r="G9" s="6">
        <f t="shared" si="0"/>
        <v>7150000</v>
      </c>
      <c r="I9" s="2" t="s">
        <v>9</v>
      </c>
      <c r="J9" s="8">
        <f>SUMIF(B8:B22, "Western India*", G8:G22)</f>
        <v>39800000</v>
      </c>
      <c r="K9" s="9" t="s">
        <v>16</v>
      </c>
    </row>
    <row r="10" spans="1:11" x14ac:dyDescent="0.25">
      <c r="A10" s="4">
        <v>46239</v>
      </c>
      <c r="B10" s="5" t="s">
        <v>17</v>
      </c>
      <c r="C10" s="5" t="s">
        <v>10</v>
      </c>
      <c r="D10" s="5" t="s">
        <v>18</v>
      </c>
      <c r="E10" s="6">
        <v>65000</v>
      </c>
      <c r="F10" s="7">
        <v>95</v>
      </c>
      <c r="G10" s="6">
        <f t="shared" si="0"/>
        <v>6175000</v>
      </c>
      <c r="I10" s="2" t="s">
        <v>14</v>
      </c>
      <c r="J10" s="8">
        <f>SUMIF(B8:B22, "Southern India*", G8:G22)</f>
        <v>20885000</v>
      </c>
      <c r="K10" s="9" t="s">
        <v>19</v>
      </c>
    </row>
    <row r="11" spans="1:11" x14ac:dyDescent="0.25">
      <c r="A11" s="4">
        <v>46242</v>
      </c>
      <c r="B11" s="5" t="s">
        <v>9</v>
      </c>
      <c r="C11" s="5" t="s">
        <v>20</v>
      </c>
      <c r="D11" s="5" t="s">
        <v>21</v>
      </c>
      <c r="E11" s="6">
        <v>18500</v>
      </c>
      <c r="F11" s="7">
        <v>400</v>
      </c>
      <c r="G11" s="6">
        <f t="shared" si="0"/>
        <v>7400000</v>
      </c>
      <c r="I11" s="2" t="s">
        <v>17</v>
      </c>
      <c r="J11" s="8">
        <f>SUMIF(B8:B22, "Northern India*", G8:G22)</f>
        <v>17225000</v>
      </c>
      <c r="K11" s="9" t="s">
        <v>22</v>
      </c>
    </row>
    <row r="12" spans="1:11" x14ac:dyDescent="0.25">
      <c r="A12" s="4">
        <v>46244</v>
      </c>
      <c r="B12" s="5" t="s">
        <v>23</v>
      </c>
      <c r="C12" s="5" t="s">
        <v>10</v>
      </c>
      <c r="D12" s="5" t="s">
        <v>24</v>
      </c>
      <c r="E12" s="6">
        <v>65000</v>
      </c>
      <c r="F12" s="7">
        <v>60</v>
      </c>
      <c r="G12" s="6">
        <f t="shared" si="0"/>
        <v>3900000</v>
      </c>
      <c r="I12" s="2" t="s">
        <v>23</v>
      </c>
      <c r="J12" s="8">
        <f>SUMIF(B8:B22, "Eastern India*", G8:G22)</f>
        <v>8400000</v>
      </c>
      <c r="K12" s="10" t="s">
        <v>25</v>
      </c>
    </row>
    <row r="13" spans="1:11" x14ac:dyDescent="0.25">
      <c r="A13" s="4">
        <v>46246</v>
      </c>
      <c r="B13" s="5" t="s">
        <v>14</v>
      </c>
      <c r="C13" s="5" t="s">
        <v>26</v>
      </c>
      <c r="D13" s="5" t="s">
        <v>27</v>
      </c>
      <c r="E13" s="6">
        <v>25000</v>
      </c>
      <c r="F13" s="7">
        <v>320</v>
      </c>
      <c r="G13" s="6">
        <f t="shared" si="0"/>
        <v>8000000</v>
      </c>
      <c r="I13" s="2" t="s">
        <v>28</v>
      </c>
      <c r="J13" s="8">
        <f>SUMIF(B8:B22, "Central India*", G8:G22)</f>
        <v>5925000</v>
      </c>
      <c r="K13" s="10" t="s">
        <v>29</v>
      </c>
    </row>
    <row r="14" spans="1:11" x14ac:dyDescent="0.25">
      <c r="A14" s="4">
        <v>46249</v>
      </c>
      <c r="B14" s="5" t="s">
        <v>28</v>
      </c>
      <c r="C14" s="5" t="s">
        <v>30</v>
      </c>
      <c r="D14" s="5" t="s">
        <v>31</v>
      </c>
      <c r="E14" s="6">
        <v>1200</v>
      </c>
      <c r="F14" s="7">
        <v>2500</v>
      </c>
      <c r="G14" s="6">
        <f t="shared" si="0"/>
        <v>3000000</v>
      </c>
      <c r="I14" s="11" t="s">
        <v>32</v>
      </c>
      <c r="J14" s="12">
        <f>SUM(J9:J13)</f>
        <v>92235000</v>
      </c>
      <c r="K14" s="13" t="s">
        <v>33</v>
      </c>
    </row>
    <row r="15" spans="1:11" x14ac:dyDescent="0.25">
      <c r="A15" s="4">
        <v>46252</v>
      </c>
      <c r="B15" s="5" t="s">
        <v>9</v>
      </c>
      <c r="C15" s="5" t="s">
        <v>26</v>
      </c>
      <c r="D15" s="5" t="s">
        <v>34</v>
      </c>
      <c r="E15" s="6">
        <v>25000</v>
      </c>
      <c r="F15" s="7">
        <v>380</v>
      </c>
      <c r="G15" s="6">
        <f t="shared" si="0"/>
        <v>9500000</v>
      </c>
    </row>
    <row r="16" spans="1:11" x14ac:dyDescent="0.25">
      <c r="A16" s="4">
        <v>46254</v>
      </c>
      <c r="B16" s="5" t="s">
        <v>17</v>
      </c>
      <c r="C16" s="5" t="s">
        <v>20</v>
      </c>
      <c r="D16" s="5" t="s">
        <v>35</v>
      </c>
      <c r="E16" s="6">
        <v>18500</v>
      </c>
      <c r="F16" s="7">
        <v>300</v>
      </c>
      <c r="G16" s="6">
        <f t="shared" si="0"/>
        <v>5550000</v>
      </c>
    </row>
    <row r="17" spans="1:7" x14ac:dyDescent="0.25">
      <c r="A17" s="4">
        <v>46256</v>
      </c>
      <c r="B17" s="5" t="s">
        <v>14</v>
      </c>
      <c r="C17" s="5" t="s">
        <v>20</v>
      </c>
      <c r="D17" s="5" t="s">
        <v>36</v>
      </c>
      <c r="E17" s="6">
        <v>18500</v>
      </c>
      <c r="F17" s="7">
        <v>310</v>
      </c>
      <c r="G17" s="6">
        <f t="shared" si="0"/>
        <v>5735000</v>
      </c>
    </row>
    <row r="18" spans="1:7" x14ac:dyDescent="0.25">
      <c r="A18" s="4">
        <v>46259</v>
      </c>
      <c r="B18" s="5" t="s">
        <v>9</v>
      </c>
      <c r="C18" s="5" t="s">
        <v>10</v>
      </c>
      <c r="D18" s="5" t="s">
        <v>11</v>
      </c>
      <c r="E18" s="6">
        <v>65000</v>
      </c>
      <c r="F18" s="7">
        <v>140</v>
      </c>
      <c r="G18" s="6">
        <f t="shared" si="0"/>
        <v>9100000</v>
      </c>
    </row>
    <row r="19" spans="1:7" x14ac:dyDescent="0.25">
      <c r="A19" s="4">
        <v>46261</v>
      </c>
      <c r="B19" s="5" t="s">
        <v>23</v>
      </c>
      <c r="C19" s="5" t="s">
        <v>26</v>
      </c>
      <c r="D19" s="5" t="s">
        <v>24</v>
      </c>
      <c r="E19" s="6">
        <v>25000</v>
      </c>
      <c r="F19" s="7">
        <v>180</v>
      </c>
      <c r="G19" s="6">
        <f t="shared" si="0"/>
        <v>4500000</v>
      </c>
    </row>
    <row r="20" spans="1:7" x14ac:dyDescent="0.25">
      <c r="A20" s="4">
        <v>46262</v>
      </c>
      <c r="B20" s="5" t="s">
        <v>17</v>
      </c>
      <c r="C20" s="5" t="s">
        <v>26</v>
      </c>
      <c r="D20" s="5" t="s">
        <v>18</v>
      </c>
      <c r="E20" s="6">
        <v>25000</v>
      </c>
      <c r="F20" s="7">
        <v>220</v>
      </c>
      <c r="G20" s="6">
        <f t="shared" si="0"/>
        <v>5500000</v>
      </c>
    </row>
    <row r="21" spans="1:7" x14ac:dyDescent="0.25">
      <c r="A21" s="4">
        <v>46264</v>
      </c>
      <c r="B21" s="5" t="s">
        <v>28</v>
      </c>
      <c r="C21" s="5" t="s">
        <v>10</v>
      </c>
      <c r="D21" s="5" t="s">
        <v>31</v>
      </c>
      <c r="E21" s="6">
        <v>65000</v>
      </c>
      <c r="F21" s="7">
        <v>45</v>
      </c>
      <c r="G21" s="6">
        <f t="shared" si="0"/>
        <v>2925000</v>
      </c>
    </row>
    <row r="22" spans="1:7" x14ac:dyDescent="0.25">
      <c r="A22" s="4">
        <v>46265</v>
      </c>
      <c r="B22" s="5" t="s">
        <v>9</v>
      </c>
      <c r="C22" s="5" t="s">
        <v>30</v>
      </c>
      <c r="D22" s="5" t="s">
        <v>21</v>
      </c>
      <c r="E22" s="6">
        <v>1200</v>
      </c>
      <c r="F22" s="7">
        <v>5000</v>
      </c>
      <c r="G22" s="6">
        <f t="shared" si="0"/>
        <v>6000000</v>
      </c>
    </row>
  </sheetData>
  <autoFilter ref="A7:G22" xr:uid="{00000000-0009-0000-0000-000000000000}"/>
  <mergeCells count="2">
    <mergeCell ref="I7:K7"/>
    <mergeCell ref="A3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A2" sqref="A2"/>
    </sheetView>
  </sheetViews>
  <sheetFormatPr defaultRowHeight="15" x14ac:dyDescent="0.25"/>
  <cols>
    <col min="1" max="1" width="18" customWidth="1"/>
    <col min="2" max="7" width="16" customWidth="1"/>
    <col min="8" max="8" width="20" customWidth="1"/>
    <col min="9" max="9" width="32" customWidth="1"/>
  </cols>
  <sheetData>
    <row r="1" spans="1:9" ht="19.5" x14ac:dyDescent="0.3">
      <c r="A1" s="1" t="s">
        <v>181</v>
      </c>
    </row>
    <row r="3" spans="1:9" x14ac:dyDescent="0.25">
      <c r="A3" s="27" t="s">
        <v>37</v>
      </c>
      <c r="B3" s="28"/>
      <c r="C3" s="28"/>
      <c r="D3" s="28"/>
      <c r="E3" s="28"/>
      <c r="F3" s="28"/>
      <c r="G3" s="28"/>
      <c r="H3" s="28"/>
      <c r="I3" s="28"/>
    </row>
    <row r="4" spans="1:9" x14ac:dyDescent="0.25">
      <c r="A4" s="28"/>
      <c r="B4" s="28"/>
      <c r="C4" s="28"/>
      <c r="D4" s="28"/>
      <c r="E4" s="28"/>
      <c r="F4" s="28"/>
      <c r="G4" s="28"/>
      <c r="H4" s="28"/>
      <c r="I4" s="28"/>
    </row>
    <row r="5" spans="1:9" ht="30.75" customHeight="1" x14ac:dyDescent="0.25">
      <c r="A5" s="28"/>
      <c r="B5" s="28"/>
      <c r="C5" s="28"/>
      <c r="D5" s="28"/>
      <c r="E5" s="28"/>
      <c r="F5" s="28"/>
      <c r="G5" s="28"/>
      <c r="H5" s="28"/>
      <c r="I5" s="28"/>
    </row>
    <row r="7" spans="1:9" x14ac:dyDescent="0.25">
      <c r="A7" s="3" t="s">
        <v>3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</row>
    <row r="8" spans="1:9" x14ac:dyDescent="0.25">
      <c r="A8" s="14" t="s">
        <v>10</v>
      </c>
      <c r="B8" s="6">
        <v>18000000</v>
      </c>
      <c r="C8" s="6">
        <v>21000000</v>
      </c>
      <c r="D8" s="6">
        <v>24500000</v>
      </c>
      <c r="E8" s="6">
        <v>26000000</v>
      </c>
      <c r="F8" s="6">
        <v>28500000</v>
      </c>
      <c r="G8" s="6">
        <v>31000000</v>
      </c>
      <c r="H8" s="8">
        <f>SUM(B8:G8)</f>
        <v>149000000</v>
      </c>
      <c r="I8" s="9" t="s">
        <v>46</v>
      </c>
    </row>
    <row r="9" spans="1:9" x14ac:dyDescent="0.25">
      <c r="A9" s="14" t="s">
        <v>20</v>
      </c>
      <c r="B9" s="6">
        <v>8500000</v>
      </c>
      <c r="C9" s="6">
        <v>7800000</v>
      </c>
      <c r="D9" s="6">
        <v>12500000</v>
      </c>
      <c r="E9" s="6">
        <v>9200000</v>
      </c>
      <c r="F9" s="6">
        <v>14000000</v>
      </c>
      <c r="G9" s="6">
        <v>11500000</v>
      </c>
      <c r="H9" s="8">
        <f>SUM(B9:G9)</f>
        <v>63500000</v>
      </c>
      <c r="I9" s="15" t="s">
        <v>47</v>
      </c>
    </row>
    <row r="10" spans="1:9" x14ac:dyDescent="0.25">
      <c r="A10" s="14" t="s">
        <v>26</v>
      </c>
      <c r="B10" s="6">
        <v>11000000</v>
      </c>
      <c r="C10" s="6">
        <v>11500000</v>
      </c>
      <c r="D10" s="6">
        <v>16000000</v>
      </c>
      <c r="E10" s="6">
        <v>12000000</v>
      </c>
      <c r="F10" s="6">
        <v>17500000</v>
      </c>
      <c r="G10" s="6">
        <v>13000000</v>
      </c>
      <c r="H10" s="8">
        <f>SUM(B10:G10)</f>
        <v>81000000</v>
      </c>
      <c r="I10" s="15" t="s">
        <v>48</v>
      </c>
    </row>
    <row r="11" spans="1:9" x14ac:dyDescent="0.25">
      <c r="A11" s="14" t="s">
        <v>30</v>
      </c>
      <c r="B11" s="6">
        <v>4500000</v>
      </c>
      <c r="C11" s="6">
        <v>4100000</v>
      </c>
      <c r="D11" s="6">
        <v>3800000</v>
      </c>
      <c r="E11" s="6">
        <v>3400000</v>
      </c>
      <c r="F11" s="6">
        <v>3100000</v>
      </c>
      <c r="G11" s="6">
        <v>2800000</v>
      </c>
      <c r="H11" s="8">
        <f>SUM(B11:G11)</f>
        <v>21700000</v>
      </c>
      <c r="I11" s="16" t="s">
        <v>49</v>
      </c>
    </row>
    <row r="12" spans="1:9" x14ac:dyDescent="0.25">
      <c r="A12" s="11" t="s">
        <v>50</v>
      </c>
      <c r="B12" s="12">
        <f t="shared" ref="B12:H12" si="0">SUM(B8:B11)</f>
        <v>42000000</v>
      </c>
      <c r="C12" s="12">
        <f t="shared" si="0"/>
        <v>44400000</v>
      </c>
      <c r="D12" s="12">
        <f t="shared" si="0"/>
        <v>56800000</v>
      </c>
      <c r="E12" s="12">
        <f t="shared" si="0"/>
        <v>50600000</v>
      </c>
      <c r="F12" s="12">
        <f t="shared" si="0"/>
        <v>63100000</v>
      </c>
      <c r="G12" s="12">
        <f t="shared" si="0"/>
        <v>58300000</v>
      </c>
      <c r="H12" s="12">
        <f t="shared" si="0"/>
        <v>315200000</v>
      </c>
      <c r="I12" s="13" t="s">
        <v>51</v>
      </c>
    </row>
  </sheetData>
  <mergeCells count="1">
    <mergeCell ref="A3:I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22" customWidth="1"/>
    <col min="3" max="3" width="28" customWidth="1"/>
    <col min="4" max="4" width="16" customWidth="1"/>
    <col min="5" max="5" width="22" customWidth="1"/>
    <col min="6" max="6" width="20" customWidth="1"/>
    <col min="7" max="7" width="28" customWidth="1"/>
    <col min="8" max="8" width="12" customWidth="1"/>
    <col min="9" max="9" width="28" customWidth="1"/>
    <col min="10" max="10" width="22" customWidth="1"/>
    <col min="11" max="11" width="28" customWidth="1"/>
  </cols>
  <sheetData>
    <row r="1" spans="1:11" ht="19.5" x14ac:dyDescent="0.3">
      <c r="A1" s="1" t="s">
        <v>182</v>
      </c>
    </row>
    <row r="3" spans="1:11" x14ac:dyDescent="0.25">
      <c r="A3" s="27" t="s">
        <v>52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29.2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7" spans="1:11" ht="30" x14ac:dyDescent="0.25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I7" s="25" t="s">
        <v>60</v>
      </c>
      <c r="J7" s="26"/>
      <c r="K7" s="26"/>
    </row>
    <row r="8" spans="1:11" ht="30" x14ac:dyDescent="0.25">
      <c r="A8" s="10" t="s">
        <v>61</v>
      </c>
      <c r="B8" s="5" t="s">
        <v>11</v>
      </c>
      <c r="C8" s="5" t="s">
        <v>62</v>
      </c>
      <c r="D8" s="4">
        <v>46213</v>
      </c>
      <c r="E8" s="17">
        <v>14.5</v>
      </c>
      <c r="F8" s="10" t="str">
        <f t="shared" ref="F8:F19" si="0">TEXT(D8, "mmmm-yyyy")</f>
        <v>July-2026</v>
      </c>
      <c r="G8" s="10" t="str">
        <f t="shared" ref="G8:G19" si="1">IF(E8&gt;=12, "Premium Package (&gt;= ₹12 LPA)", "Standard Core Level")</f>
        <v>Premium Package (&gt;= ₹12 LPA)</v>
      </c>
      <c r="I8" s="3" t="s">
        <v>55</v>
      </c>
      <c r="J8" s="3" t="s">
        <v>63</v>
      </c>
      <c r="K8" s="3" t="s">
        <v>64</v>
      </c>
    </row>
    <row r="9" spans="1:11" x14ac:dyDescent="0.25">
      <c r="A9" s="10" t="s">
        <v>65</v>
      </c>
      <c r="B9" s="5" t="s">
        <v>15</v>
      </c>
      <c r="C9" s="5" t="s">
        <v>66</v>
      </c>
      <c r="D9" s="4">
        <v>46218</v>
      </c>
      <c r="E9" s="17">
        <v>11</v>
      </c>
      <c r="F9" s="10" t="str">
        <f t="shared" si="0"/>
        <v>July-2026</v>
      </c>
      <c r="G9" s="10" t="str">
        <f t="shared" si="1"/>
        <v>Standard Core Level</v>
      </c>
      <c r="I9" s="2" t="s">
        <v>66</v>
      </c>
      <c r="J9" s="18">
        <f>COUNTIF(C8:C19, "Tata Consultancy Services")</f>
        <v>3</v>
      </c>
      <c r="K9" s="19">
        <f>AVERAGEIF(C8:C19, "Tata Consultancy Services", E8:E19)</f>
        <v>11</v>
      </c>
    </row>
    <row r="10" spans="1:11" x14ac:dyDescent="0.25">
      <c r="A10" s="10" t="s">
        <v>67</v>
      </c>
      <c r="B10" s="5" t="s">
        <v>18</v>
      </c>
      <c r="C10" s="5" t="s">
        <v>68</v>
      </c>
      <c r="D10" s="4">
        <v>46223</v>
      </c>
      <c r="E10" s="17">
        <v>9.5</v>
      </c>
      <c r="F10" s="10" t="str">
        <f t="shared" si="0"/>
        <v>July-2026</v>
      </c>
      <c r="G10" s="10" t="str">
        <f t="shared" si="1"/>
        <v>Standard Core Level</v>
      </c>
      <c r="I10" s="2" t="s">
        <v>68</v>
      </c>
      <c r="J10" s="18">
        <f>COUNTIF(C8:C19, "Infosys Limited")</f>
        <v>2</v>
      </c>
      <c r="K10" s="19">
        <f>AVERAGEIF(C8:C19, "Infosys Limited", E8:E19)</f>
        <v>11</v>
      </c>
    </row>
    <row r="11" spans="1:11" x14ac:dyDescent="0.25">
      <c r="A11" s="10" t="s">
        <v>69</v>
      </c>
      <c r="B11" s="5" t="s">
        <v>21</v>
      </c>
      <c r="C11" s="5" t="s">
        <v>70</v>
      </c>
      <c r="D11" s="4">
        <v>46228</v>
      </c>
      <c r="E11" s="17">
        <v>12</v>
      </c>
      <c r="F11" s="10" t="str">
        <f t="shared" si="0"/>
        <v>July-2026</v>
      </c>
      <c r="G11" s="10" t="str">
        <f t="shared" si="1"/>
        <v>Premium Package (&gt;= ₹12 LPA)</v>
      </c>
      <c r="I11" s="2" t="s">
        <v>70</v>
      </c>
      <c r="J11" s="18">
        <f>COUNTIF(C8:C19, "Wipro Technologies")</f>
        <v>2</v>
      </c>
      <c r="K11" s="19">
        <f>AVERAGEIF(C8:C19, "Wipro Technologies", E8:E19)</f>
        <v>12.5</v>
      </c>
    </row>
    <row r="12" spans="1:11" x14ac:dyDescent="0.25">
      <c r="A12" s="10" t="s">
        <v>71</v>
      </c>
      <c r="B12" s="5" t="s">
        <v>24</v>
      </c>
      <c r="C12" s="5" t="s">
        <v>72</v>
      </c>
      <c r="D12" s="4">
        <v>46236</v>
      </c>
      <c r="E12" s="17">
        <v>8.5</v>
      </c>
      <c r="F12" s="10" t="str">
        <f t="shared" si="0"/>
        <v>August-2026</v>
      </c>
      <c r="G12" s="10" t="str">
        <f t="shared" si="1"/>
        <v>Standard Core Level</v>
      </c>
      <c r="I12" s="2" t="s">
        <v>62</v>
      </c>
      <c r="J12" s="18">
        <f>COUNTIF(C8:C19, "Accenture India")</f>
        <v>3</v>
      </c>
      <c r="K12" s="19">
        <f>AVERAGEIF(C8:C19, "Accenture India", E8:E19)</f>
        <v>15.166666666666666</v>
      </c>
    </row>
    <row r="13" spans="1:11" x14ac:dyDescent="0.25">
      <c r="A13" s="10" t="s">
        <v>73</v>
      </c>
      <c r="B13" s="5" t="s">
        <v>27</v>
      </c>
      <c r="C13" s="5" t="s">
        <v>62</v>
      </c>
      <c r="D13" s="4">
        <v>46244</v>
      </c>
      <c r="E13" s="17">
        <v>15</v>
      </c>
      <c r="F13" s="10" t="str">
        <f t="shared" si="0"/>
        <v>August-2026</v>
      </c>
      <c r="G13" s="10" t="str">
        <f t="shared" si="1"/>
        <v>Premium Package (&gt;= ₹12 LPA)</v>
      </c>
      <c r="I13" s="2" t="s">
        <v>72</v>
      </c>
      <c r="J13" s="18">
        <f>COUNTIF(C8:C19, "Cognizant India")</f>
        <v>2</v>
      </c>
      <c r="K13" s="19">
        <f>AVERAGEIF(C8:C19, "Cognizant India", E8:E19)</f>
        <v>8.75</v>
      </c>
    </row>
    <row r="14" spans="1:11" x14ac:dyDescent="0.25">
      <c r="A14" s="10" t="s">
        <v>74</v>
      </c>
      <c r="B14" s="5" t="s">
        <v>31</v>
      </c>
      <c r="C14" s="5" t="s">
        <v>66</v>
      </c>
      <c r="D14" s="4">
        <v>46252</v>
      </c>
      <c r="E14" s="17">
        <v>10.5</v>
      </c>
      <c r="F14" s="10" t="str">
        <f t="shared" si="0"/>
        <v>August-2026</v>
      </c>
      <c r="G14" s="10" t="str">
        <f t="shared" si="1"/>
        <v>Standard Core Level</v>
      </c>
      <c r="I14" s="11" t="s">
        <v>75</v>
      </c>
      <c r="J14" s="20">
        <f>SUM(J9:J13)</f>
        <v>12</v>
      </c>
      <c r="K14" s="21">
        <f>AVERAGE(K9:K13)</f>
        <v>11.683333333333334</v>
      </c>
    </row>
    <row r="15" spans="1:11" x14ac:dyDescent="0.25">
      <c r="A15" s="10" t="s">
        <v>76</v>
      </c>
      <c r="B15" s="5" t="s">
        <v>34</v>
      </c>
      <c r="C15" s="5" t="s">
        <v>68</v>
      </c>
      <c r="D15" s="4">
        <v>46256</v>
      </c>
      <c r="E15" s="17">
        <v>12.5</v>
      </c>
      <c r="F15" s="10" t="str">
        <f t="shared" si="0"/>
        <v>August-2026</v>
      </c>
      <c r="G15" s="10" t="str">
        <f t="shared" si="1"/>
        <v>Premium Package (&gt;= ₹12 LPA)</v>
      </c>
    </row>
    <row r="16" spans="1:11" x14ac:dyDescent="0.25">
      <c r="A16" s="10" t="s">
        <v>77</v>
      </c>
      <c r="B16" s="5" t="s">
        <v>35</v>
      </c>
      <c r="C16" s="5" t="s">
        <v>70</v>
      </c>
      <c r="D16" s="4">
        <v>46270</v>
      </c>
      <c r="E16" s="17">
        <v>13</v>
      </c>
      <c r="F16" s="10" t="str">
        <f t="shared" si="0"/>
        <v>September-2026</v>
      </c>
      <c r="G16" s="10" t="str">
        <f t="shared" si="1"/>
        <v>Premium Package (&gt;= ₹12 LPA)</v>
      </c>
    </row>
    <row r="17" spans="1:7" x14ac:dyDescent="0.25">
      <c r="A17" s="10" t="s">
        <v>78</v>
      </c>
      <c r="B17" s="5" t="s">
        <v>36</v>
      </c>
      <c r="C17" s="5" t="s">
        <v>72</v>
      </c>
      <c r="D17" s="4">
        <v>46277</v>
      </c>
      <c r="E17" s="17">
        <v>9</v>
      </c>
      <c r="F17" s="10" t="str">
        <f t="shared" si="0"/>
        <v>September-2026</v>
      </c>
      <c r="G17" s="10" t="str">
        <f t="shared" si="1"/>
        <v>Standard Core Level</v>
      </c>
    </row>
    <row r="18" spans="1:7" x14ac:dyDescent="0.25">
      <c r="A18" s="10" t="s">
        <v>79</v>
      </c>
      <c r="B18" s="5" t="s">
        <v>80</v>
      </c>
      <c r="C18" s="5" t="s">
        <v>62</v>
      </c>
      <c r="D18" s="4">
        <v>46283</v>
      </c>
      <c r="E18" s="17">
        <v>16</v>
      </c>
      <c r="F18" s="10" t="str">
        <f t="shared" si="0"/>
        <v>September-2026</v>
      </c>
      <c r="G18" s="10" t="str">
        <f t="shared" si="1"/>
        <v>Premium Package (&gt;= ₹12 LPA)</v>
      </c>
    </row>
    <row r="19" spans="1:7" x14ac:dyDescent="0.25">
      <c r="A19" s="10" t="s">
        <v>81</v>
      </c>
      <c r="B19" s="5" t="s">
        <v>82</v>
      </c>
      <c r="C19" s="5" t="s">
        <v>66</v>
      </c>
      <c r="D19" s="4">
        <v>46290</v>
      </c>
      <c r="E19" s="17">
        <v>11.5</v>
      </c>
      <c r="F19" s="10" t="str">
        <f t="shared" si="0"/>
        <v>September-2026</v>
      </c>
      <c r="G19" s="10" t="str">
        <f t="shared" si="1"/>
        <v>Standard Core Level</v>
      </c>
    </row>
  </sheetData>
  <autoFilter ref="A7:G19" xr:uid="{00000000-0009-0000-0000-000002000000}"/>
  <mergeCells count="2">
    <mergeCell ref="I7:K7"/>
    <mergeCell ref="A3:K5"/>
  </mergeCells>
  <conditionalFormatting sqref="G8:G19">
    <cfRule type="expression" dxfId="6" priority="1">
      <formula>$G8="Premium Package (&gt;= ₹12 LPA)"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26" customWidth="1"/>
    <col min="3" max="3" width="20" customWidth="1"/>
    <col min="4" max="4" width="26" customWidth="1"/>
    <col min="5" max="5" width="18" customWidth="1"/>
    <col min="6" max="7" width="14" customWidth="1"/>
    <col min="8" max="9" width="24" customWidth="1"/>
    <col min="10" max="11" width="10" customWidth="1"/>
  </cols>
  <sheetData>
    <row r="1" spans="1:11" ht="19.5" x14ac:dyDescent="0.3">
      <c r="A1" s="1" t="s">
        <v>183</v>
      </c>
    </row>
    <row r="3" spans="1:11" x14ac:dyDescent="0.25">
      <c r="A3" s="27" t="s">
        <v>83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26.2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7" spans="1:11" ht="30" x14ac:dyDescent="0.25">
      <c r="A7" s="3" t="s">
        <v>84</v>
      </c>
      <c r="B7" s="3" t="s">
        <v>85</v>
      </c>
      <c r="C7" s="3" t="s">
        <v>86</v>
      </c>
      <c r="D7" s="3" t="s">
        <v>87</v>
      </c>
      <c r="E7" s="3" t="s">
        <v>88</v>
      </c>
      <c r="F7" s="3" t="s">
        <v>89</v>
      </c>
      <c r="G7" s="3" t="s">
        <v>90</v>
      </c>
      <c r="H7" s="3" t="s">
        <v>91</v>
      </c>
      <c r="I7" s="32" t="s">
        <v>92</v>
      </c>
      <c r="J7" s="26"/>
      <c r="K7" s="26"/>
    </row>
    <row r="8" spans="1:11" x14ac:dyDescent="0.25">
      <c r="A8" s="10" t="s">
        <v>93</v>
      </c>
      <c r="B8" s="5" t="s">
        <v>94</v>
      </c>
      <c r="C8" s="5" t="s">
        <v>10</v>
      </c>
      <c r="D8" s="5" t="s">
        <v>66</v>
      </c>
      <c r="E8" s="10" t="s">
        <v>95</v>
      </c>
      <c r="F8" s="7">
        <v>150</v>
      </c>
      <c r="G8" s="7">
        <v>120</v>
      </c>
      <c r="H8" s="18">
        <f t="shared" ref="H8:H17" si="0">F8-G8</f>
        <v>30</v>
      </c>
      <c r="I8" s="30" t="str">
        <f t="shared" ref="I8:I17" si="1">IF(H8&lt;0, "STOCK DEFICIT (Out &gt; In)", IF(H8&gt;50, "Surplus Buildup", "Balanced Flow"))</f>
        <v>Balanced Flow</v>
      </c>
      <c r="J8" s="26"/>
      <c r="K8" s="26"/>
    </row>
    <row r="9" spans="1:11" x14ac:dyDescent="0.25">
      <c r="A9" s="10" t="s">
        <v>96</v>
      </c>
      <c r="B9" s="5" t="s">
        <v>97</v>
      </c>
      <c r="C9" s="5" t="s">
        <v>98</v>
      </c>
      <c r="D9" s="5" t="s">
        <v>99</v>
      </c>
      <c r="E9" s="10" t="s">
        <v>95</v>
      </c>
      <c r="F9" s="7">
        <v>80</v>
      </c>
      <c r="G9" s="7">
        <v>85</v>
      </c>
      <c r="H9" s="18">
        <f t="shared" si="0"/>
        <v>-5</v>
      </c>
      <c r="I9" s="29" t="str">
        <f t="shared" si="1"/>
        <v>STOCK DEFICIT (Out &gt; In)</v>
      </c>
      <c r="J9" s="28"/>
      <c r="K9" s="28"/>
    </row>
    <row r="10" spans="1:11" x14ac:dyDescent="0.25">
      <c r="A10" s="10" t="s">
        <v>100</v>
      </c>
      <c r="B10" s="5" t="s">
        <v>101</v>
      </c>
      <c r="C10" s="5" t="s">
        <v>102</v>
      </c>
      <c r="D10" s="5" t="s">
        <v>103</v>
      </c>
      <c r="E10" s="10" t="s">
        <v>95</v>
      </c>
      <c r="F10" s="7">
        <v>200</v>
      </c>
      <c r="G10" s="7">
        <v>140</v>
      </c>
      <c r="H10" s="18">
        <f t="shared" si="0"/>
        <v>60</v>
      </c>
      <c r="I10" s="29" t="str">
        <f t="shared" si="1"/>
        <v>Surplus Buildup</v>
      </c>
      <c r="J10" s="28"/>
      <c r="K10" s="28"/>
    </row>
    <row r="11" spans="1:11" x14ac:dyDescent="0.25">
      <c r="A11" s="10" t="s">
        <v>104</v>
      </c>
      <c r="B11" s="5" t="s">
        <v>105</v>
      </c>
      <c r="C11" s="5" t="s">
        <v>106</v>
      </c>
      <c r="D11" s="5" t="s">
        <v>107</v>
      </c>
      <c r="E11" s="10" t="s">
        <v>95</v>
      </c>
      <c r="F11" s="7">
        <v>1000</v>
      </c>
      <c r="G11" s="7">
        <v>850</v>
      </c>
      <c r="H11" s="18">
        <f t="shared" si="0"/>
        <v>150</v>
      </c>
      <c r="I11" s="29" t="str">
        <f t="shared" si="1"/>
        <v>Surplus Buildup</v>
      </c>
      <c r="J11" s="28"/>
      <c r="K11" s="28"/>
    </row>
    <row r="12" spans="1:11" x14ac:dyDescent="0.25">
      <c r="A12" s="10" t="s">
        <v>108</v>
      </c>
      <c r="B12" s="5" t="s">
        <v>94</v>
      </c>
      <c r="C12" s="5" t="s">
        <v>10</v>
      </c>
      <c r="D12" s="5" t="s">
        <v>66</v>
      </c>
      <c r="E12" s="10" t="s">
        <v>109</v>
      </c>
      <c r="F12" s="7">
        <v>100</v>
      </c>
      <c r="G12" s="7">
        <v>110</v>
      </c>
      <c r="H12" s="18">
        <f t="shared" si="0"/>
        <v>-10</v>
      </c>
      <c r="I12" s="29" t="str">
        <f t="shared" si="1"/>
        <v>STOCK DEFICIT (Out &gt; In)</v>
      </c>
      <c r="J12" s="28"/>
      <c r="K12" s="28"/>
    </row>
    <row r="13" spans="1:11" x14ac:dyDescent="0.25">
      <c r="A13" s="10" t="s">
        <v>110</v>
      </c>
      <c r="B13" s="5" t="s">
        <v>111</v>
      </c>
      <c r="C13" s="5" t="s">
        <v>98</v>
      </c>
      <c r="D13" s="5" t="s">
        <v>99</v>
      </c>
      <c r="E13" s="10" t="s">
        <v>109</v>
      </c>
      <c r="F13" s="7">
        <v>50</v>
      </c>
      <c r="G13" s="7">
        <v>35</v>
      </c>
      <c r="H13" s="18">
        <f t="shared" si="0"/>
        <v>15</v>
      </c>
      <c r="I13" s="10" t="str">
        <f t="shared" si="1"/>
        <v>Balanced Flow</v>
      </c>
    </row>
    <row r="14" spans="1:11" x14ac:dyDescent="0.25">
      <c r="A14" s="10" t="s">
        <v>112</v>
      </c>
      <c r="B14" s="5" t="s">
        <v>113</v>
      </c>
      <c r="C14" s="5" t="s">
        <v>102</v>
      </c>
      <c r="D14" s="5" t="s">
        <v>103</v>
      </c>
      <c r="E14" s="10" t="s">
        <v>109</v>
      </c>
      <c r="F14" s="7">
        <v>25</v>
      </c>
      <c r="G14" s="7">
        <v>20</v>
      </c>
      <c r="H14" s="18">
        <f t="shared" si="0"/>
        <v>5</v>
      </c>
      <c r="I14" s="30" t="str">
        <f t="shared" si="1"/>
        <v>Balanced Flow</v>
      </c>
      <c r="J14" s="26"/>
      <c r="K14" s="26"/>
    </row>
    <row r="15" spans="1:11" x14ac:dyDescent="0.25">
      <c r="A15" s="10" t="s">
        <v>114</v>
      </c>
      <c r="B15" s="5" t="s">
        <v>105</v>
      </c>
      <c r="C15" s="5" t="s">
        <v>106</v>
      </c>
      <c r="D15" s="5" t="s">
        <v>107</v>
      </c>
      <c r="E15" s="10" t="s">
        <v>109</v>
      </c>
      <c r="F15" s="7">
        <v>1200</v>
      </c>
      <c r="G15" s="7">
        <v>1150</v>
      </c>
      <c r="H15" s="18">
        <f t="shared" si="0"/>
        <v>50</v>
      </c>
      <c r="I15" s="29" t="str">
        <f t="shared" si="1"/>
        <v>Balanced Flow</v>
      </c>
      <c r="J15" s="28"/>
      <c r="K15" s="28"/>
    </row>
    <row r="16" spans="1:11" x14ac:dyDescent="0.25">
      <c r="A16" s="10" t="s">
        <v>115</v>
      </c>
      <c r="B16" s="5" t="s">
        <v>94</v>
      </c>
      <c r="C16" s="5" t="s">
        <v>10</v>
      </c>
      <c r="D16" s="5" t="s">
        <v>66</v>
      </c>
      <c r="E16" s="10" t="s">
        <v>116</v>
      </c>
      <c r="F16" s="7">
        <v>180</v>
      </c>
      <c r="G16" s="7">
        <v>140</v>
      </c>
      <c r="H16" s="18">
        <f t="shared" si="0"/>
        <v>40</v>
      </c>
      <c r="I16" s="29" t="str">
        <f t="shared" si="1"/>
        <v>Balanced Flow</v>
      </c>
      <c r="J16" s="28"/>
      <c r="K16" s="28"/>
    </row>
    <row r="17" spans="1:11" x14ac:dyDescent="0.25">
      <c r="A17" s="10" t="s">
        <v>117</v>
      </c>
      <c r="B17" s="5" t="s">
        <v>97</v>
      </c>
      <c r="C17" s="5" t="s">
        <v>98</v>
      </c>
      <c r="D17" s="5" t="s">
        <v>99</v>
      </c>
      <c r="E17" s="10" t="s">
        <v>116</v>
      </c>
      <c r="F17" s="7">
        <v>100</v>
      </c>
      <c r="G17" s="7">
        <v>90</v>
      </c>
      <c r="H17" s="18">
        <f t="shared" si="0"/>
        <v>10</v>
      </c>
      <c r="I17" s="29" t="str">
        <f t="shared" si="1"/>
        <v>Balanced Flow</v>
      </c>
      <c r="J17" s="28"/>
      <c r="K17" s="28"/>
    </row>
    <row r="18" spans="1:11" x14ac:dyDescent="0.25">
      <c r="I18" s="31" t="s">
        <v>118</v>
      </c>
      <c r="J18" s="28"/>
      <c r="K18" s="28"/>
    </row>
  </sheetData>
  <autoFilter ref="A7:I17" xr:uid="{00000000-0009-0000-0000-000003000000}"/>
  <mergeCells count="12">
    <mergeCell ref="I17:K17"/>
    <mergeCell ref="I12:K12"/>
    <mergeCell ref="I18:K18"/>
    <mergeCell ref="I15:K15"/>
    <mergeCell ref="I7:K7"/>
    <mergeCell ref="I16:K16"/>
    <mergeCell ref="I11:K11"/>
    <mergeCell ref="I10:K10"/>
    <mergeCell ref="I14:K14"/>
    <mergeCell ref="A3:K5"/>
    <mergeCell ref="I9:K9"/>
    <mergeCell ref="I8:K8"/>
  </mergeCells>
  <conditionalFormatting sqref="I8:I17">
    <cfRule type="expression" dxfId="5" priority="1">
      <formula>$I8="STOCK DEFICIT (Out &gt; In)"</formula>
    </cfRule>
    <cfRule type="expression" dxfId="4" priority="2">
      <formula>$I8="Surplus Buildup"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workbookViewId="0">
      <selection activeCell="A2" sqref="A2"/>
    </sheetView>
  </sheetViews>
  <sheetFormatPr defaultRowHeight="15" x14ac:dyDescent="0.25"/>
  <cols>
    <col min="1" max="1" width="28" customWidth="1"/>
    <col min="2" max="2" width="18" customWidth="1"/>
    <col min="3" max="4" width="22" customWidth="1"/>
    <col min="5" max="5" width="26" customWidth="1"/>
    <col min="6" max="6" width="12" customWidth="1"/>
    <col min="7" max="8" width="18" customWidth="1"/>
    <col min="9" max="11" width="12" customWidth="1"/>
  </cols>
  <sheetData>
    <row r="1" spans="1:11" ht="19.5" x14ac:dyDescent="0.3">
      <c r="A1" s="1" t="s">
        <v>184</v>
      </c>
    </row>
    <row r="3" spans="1:11" x14ac:dyDescent="0.25">
      <c r="A3" s="27" t="s">
        <v>119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28.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7" spans="1:11" x14ac:dyDescent="0.25">
      <c r="A7" s="3" t="s">
        <v>120</v>
      </c>
      <c r="B7" s="3" t="s">
        <v>121</v>
      </c>
      <c r="C7" s="3" t="s">
        <v>122</v>
      </c>
      <c r="D7" s="3" t="s">
        <v>123</v>
      </c>
      <c r="E7" s="3" t="s">
        <v>124</v>
      </c>
    </row>
    <row r="8" spans="1:11" x14ac:dyDescent="0.25">
      <c r="A8" s="5" t="s">
        <v>125</v>
      </c>
      <c r="B8" s="10" t="s">
        <v>126</v>
      </c>
      <c r="C8" s="10">
        <v>60</v>
      </c>
      <c r="D8" s="22">
        <v>0.86</v>
      </c>
      <c r="E8" s="10" t="s">
        <v>127</v>
      </c>
    </row>
    <row r="9" spans="1:11" x14ac:dyDescent="0.25">
      <c r="A9" s="5" t="s">
        <v>125</v>
      </c>
      <c r="B9" s="10" t="s">
        <v>128</v>
      </c>
      <c r="C9" s="10">
        <v>60</v>
      </c>
      <c r="D9" s="22">
        <v>0.82</v>
      </c>
      <c r="E9" s="10" t="s">
        <v>127</v>
      </c>
    </row>
    <row r="10" spans="1:11" x14ac:dyDescent="0.25">
      <c r="A10" s="5" t="s">
        <v>129</v>
      </c>
      <c r="B10" s="10" t="s">
        <v>126</v>
      </c>
      <c r="C10" s="10">
        <v>60</v>
      </c>
      <c r="D10" s="22">
        <v>0.79</v>
      </c>
      <c r="E10" s="10" t="s">
        <v>127</v>
      </c>
    </row>
    <row r="11" spans="1:11" x14ac:dyDescent="0.25">
      <c r="A11" s="5" t="s">
        <v>129</v>
      </c>
      <c r="B11" s="10" t="s">
        <v>128</v>
      </c>
      <c r="C11" s="10">
        <v>60</v>
      </c>
      <c r="D11" s="22">
        <v>0.76</v>
      </c>
      <c r="E11" s="10" t="s">
        <v>127</v>
      </c>
    </row>
    <row r="12" spans="1:11" x14ac:dyDescent="0.25">
      <c r="A12" s="5" t="s">
        <v>130</v>
      </c>
      <c r="B12" s="10" t="s">
        <v>126</v>
      </c>
      <c r="C12" s="10">
        <v>60</v>
      </c>
      <c r="D12" s="22">
        <v>0.71</v>
      </c>
      <c r="E12" s="10" t="s">
        <v>131</v>
      </c>
    </row>
    <row r="13" spans="1:11" x14ac:dyDescent="0.25">
      <c r="A13" s="5" t="s">
        <v>130</v>
      </c>
      <c r="B13" s="10" t="s">
        <v>128</v>
      </c>
      <c r="C13" s="10">
        <v>60</v>
      </c>
      <c r="D13" s="22">
        <v>0.68</v>
      </c>
      <c r="E13" s="10" t="s">
        <v>131</v>
      </c>
    </row>
    <row r="14" spans="1:11" x14ac:dyDescent="0.25">
      <c r="A14" s="5" t="s">
        <v>132</v>
      </c>
      <c r="B14" s="10" t="s">
        <v>126</v>
      </c>
      <c r="C14" s="10">
        <v>60</v>
      </c>
      <c r="D14" s="22">
        <v>0.73</v>
      </c>
      <c r="E14" s="10" t="s">
        <v>131</v>
      </c>
    </row>
    <row r="15" spans="1:11" x14ac:dyDescent="0.25">
      <c r="A15" s="5" t="s">
        <v>132</v>
      </c>
      <c r="B15" s="10" t="s">
        <v>128</v>
      </c>
      <c r="C15" s="10">
        <v>60</v>
      </c>
      <c r="D15" s="22">
        <v>0.7</v>
      </c>
      <c r="E15" s="10" t="s">
        <v>131</v>
      </c>
    </row>
    <row r="16" spans="1:11" x14ac:dyDescent="0.25">
      <c r="A16" s="5" t="s">
        <v>133</v>
      </c>
      <c r="B16" s="10" t="s">
        <v>126</v>
      </c>
      <c r="C16" s="10">
        <v>60</v>
      </c>
      <c r="D16" s="22">
        <v>0.88</v>
      </c>
      <c r="E16" s="10" t="s">
        <v>127</v>
      </c>
    </row>
    <row r="17" spans="1:5" x14ac:dyDescent="0.25">
      <c r="A17" s="5" t="s">
        <v>133</v>
      </c>
      <c r="B17" s="10" t="s">
        <v>128</v>
      </c>
      <c r="C17" s="10">
        <v>60</v>
      </c>
      <c r="D17" s="22">
        <v>0.85</v>
      </c>
      <c r="E17" s="10" t="s">
        <v>127</v>
      </c>
    </row>
    <row r="18" spans="1:5" x14ac:dyDescent="0.25">
      <c r="A18" s="11" t="s">
        <v>134</v>
      </c>
      <c r="B18" s="23"/>
      <c r="C18" s="23"/>
      <c r="D18" s="24">
        <f>AVERAGE(D8:D17)</f>
        <v>0.77799999999999991</v>
      </c>
      <c r="E18" s="23"/>
    </row>
  </sheetData>
  <mergeCells count="1">
    <mergeCell ref="A3:K5"/>
  </mergeCells>
  <conditionalFormatting sqref="E8:E17">
    <cfRule type="expression" dxfId="3" priority="1">
      <formula>$E8="CRITICAL DEFICIT (&lt;75%)"</formula>
    </cfRule>
    <cfRule type="expression" dxfId="2" priority="2">
      <formula>$E8="Satisfactory (&gt;=75%)"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tabSelected="1" workbookViewId="0">
      <selection activeCell="E23" sqref="E23"/>
    </sheetView>
  </sheetViews>
  <sheetFormatPr defaultRowHeight="15" x14ac:dyDescent="0.25"/>
  <cols>
    <col min="1" max="1" width="14" customWidth="1"/>
    <col min="2" max="2" width="26" customWidth="1"/>
    <col min="3" max="3" width="20" customWidth="1"/>
    <col min="4" max="4" width="24" customWidth="1"/>
    <col min="5" max="5" width="28" customWidth="1"/>
    <col min="6" max="6" width="12" customWidth="1"/>
    <col min="7" max="11" width="18" customWidth="1"/>
  </cols>
  <sheetData>
    <row r="1" spans="1:11" ht="19.5" x14ac:dyDescent="0.3">
      <c r="A1" s="1" t="s">
        <v>185</v>
      </c>
    </row>
    <row r="3" spans="1:11" x14ac:dyDescent="0.25">
      <c r="A3" s="27" t="s">
        <v>135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54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</row>
    <row r="8" spans="1:11" x14ac:dyDescent="0.25">
      <c r="A8" s="25" t="s">
        <v>136</v>
      </c>
      <c r="B8" s="26"/>
      <c r="C8" s="26"/>
      <c r="D8" s="26"/>
      <c r="E8" s="26"/>
      <c r="G8" s="34" t="s">
        <v>137</v>
      </c>
      <c r="H8" s="26"/>
      <c r="I8" s="26"/>
      <c r="J8" s="26"/>
      <c r="K8" s="26"/>
    </row>
    <row r="9" spans="1:11" ht="30" x14ac:dyDescent="0.25">
      <c r="A9" s="3" t="s">
        <v>138</v>
      </c>
      <c r="B9" s="3" t="s">
        <v>139</v>
      </c>
      <c r="C9" s="3" t="s">
        <v>140</v>
      </c>
      <c r="D9" s="3" t="s">
        <v>141</v>
      </c>
      <c r="E9" s="3" t="s">
        <v>142</v>
      </c>
      <c r="G9" s="33" t="s">
        <v>143</v>
      </c>
      <c r="H9" s="28"/>
      <c r="I9" s="28"/>
      <c r="J9" s="28"/>
      <c r="K9" s="28"/>
    </row>
    <row r="10" spans="1:11" x14ac:dyDescent="0.25">
      <c r="A10" s="10" t="s">
        <v>144</v>
      </c>
      <c r="B10" s="5" t="s">
        <v>145</v>
      </c>
      <c r="C10" s="6">
        <v>4000000</v>
      </c>
      <c r="D10" s="6">
        <v>4500000</v>
      </c>
      <c r="E10" s="10" t="str">
        <f t="shared" ref="E10:E16" si="0">IF(D10&gt;=C10, "TARGET MET (Green)", "SHORTFALL (Red)")</f>
        <v>TARGET MET (Green)</v>
      </c>
      <c r="G10" s="33" t="s">
        <v>146</v>
      </c>
      <c r="H10" s="28"/>
      <c r="I10" s="28"/>
      <c r="J10" s="28"/>
      <c r="K10" s="28"/>
    </row>
    <row r="11" spans="1:11" x14ac:dyDescent="0.25">
      <c r="A11" s="10" t="s">
        <v>147</v>
      </c>
      <c r="B11" s="5" t="s">
        <v>148</v>
      </c>
      <c r="C11" s="6">
        <v>3000000</v>
      </c>
      <c r="D11" s="6">
        <v>3200000</v>
      </c>
      <c r="E11" s="10" t="str">
        <f t="shared" si="0"/>
        <v>TARGET MET (Green)</v>
      </c>
      <c r="G11" s="33" t="s">
        <v>149</v>
      </c>
      <c r="H11" s="28"/>
      <c r="I11" s="28"/>
      <c r="J11" s="28"/>
      <c r="K11" s="28"/>
    </row>
    <row r="12" spans="1:11" x14ac:dyDescent="0.25">
      <c r="A12" s="10" t="s">
        <v>150</v>
      </c>
      <c r="B12" s="5" t="s">
        <v>151</v>
      </c>
      <c r="C12" s="6">
        <v>4500000</v>
      </c>
      <c r="D12" s="6">
        <v>4800000</v>
      </c>
      <c r="E12" s="10" t="str">
        <f t="shared" si="0"/>
        <v>TARGET MET (Green)</v>
      </c>
      <c r="G12" s="33" t="s">
        <v>152</v>
      </c>
      <c r="H12" s="28"/>
      <c r="I12" s="28"/>
      <c r="J12" s="28"/>
      <c r="K12" s="28"/>
    </row>
    <row r="13" spans="1:11" x14ac:dyDescent="0.25">
      <c r="A13" s="10" t="s">
        <v>153</v>
      </c>
      <c r="B13" s="5" t="s">
        <v>154</v>
      </c>
      <c r="C13" s="6">
        <v>4000000</v>
      </c>
      <c r="D13" s="6">
        <v>3600000</v>
      </c>
      <c r="E13" s="10" t="str">
        <f t="shared" si="0"/>
        <v>SHORTFALL (Red)</v>
      </c>
      <c r="G13" s="33" t="s">
        <v>155</v>
      </c>
      <c r="H13" s="28"/>
      <c r="I13" s="28"/>
      <c r="J13" s="28"/>
      <c r="K13" s="28"/>
    </row>
    <row r="14" spans="1:11" x14ac:dyDescent="0.25">
      <c r="A14" s="10" t="s">
        <v>156</v>
      </c>
      <c r="B14" s="5" t="s">
        <v>157</v>
      </c>
      <c r="C14" s="6">
        <v>3500000</v>
      </c>
      <c r="D14" s="6">
        <v>3800000</v>
      </c>
      <c r="E14" s="10" t="str">
        <f t="shared" si="0"/>
        <v>TARGET MET (Green)</v>
      </c>
      <c r="G14" s="33" t="s">
        <v>158</v>
      </c>
      <c r="H14" s="28"/>
      <c r="I14" s="28"/>
      <c r="J14" s="28"/>
      <c r="K14" s="28"/>
    </row>
    <row r="15" spans="1:11" x14ac:dyDescent="0.25">
      <c r="A15" s="10" t="s">
        <v>159</v>
      </c>
      <c r="B15" s="5" t="s">
        <v>160</v>
      </c>
      <c r="C15" s="6">
        <v>3500000</v>
      </c>
      <c r="D15" s="6">
        <v>3100000</v>
      </c>
      <c r="E15" s="10" t="str">
        <f t="shared" si="0"/>
        <v>SHORTFALL (Red)</v>
      </c>
      <c r="G15" s="33" t="s">
        <v>161</v>
      </c>
      <c r="H15" s="28"/>
      <c r="I15" s="28"/>
      <c r="J15" s="28"/>
      <c r="K15" s="28"/>
    </row>
    <row r="16" spans="1:11" x14ac:dyDescent="0.25">
      <c r="A16" s="10" t="s">
        <v>162</v>
      </c>
      <c r="B16" s="5" t="s">
        <v>163</v>
      </c>
      <c r="C16" s="6">
        <v>3000000</v>
      </c>
      <c r="D16" s="6">
        <v>3400000</v>
      </c>
      <c r="E16" s="10" t="str">
        <f t="shared" si="0"/>
        <v>TARGET MET (Green)</v>
      </c>
      <c r="G16" s="33" t="s">
        <v>164</v>
      </c>
      <c r="H16" s="28"/>
      <c r="I16" s="28"/>
      <c r="J16" s="28"/>
      <c r="K16" s="28"/>
    </row>
    <row r="17" spans="2:11" x14ac:dyDescent="0.25">
      <c r="B17" s="11" t="s">
        <v>165</v>
      </c>
      <c r="C17" s="12">
        <f>SUM(C10:C16)</f>
        <v>25500000</v>
      </c>
      <c r="D17" s="12">
        <f>SUM(D10:D16)</f>
        <v>26400000</v>
      </c>
      <c r="E17" s="13" t="s">
        <v>166</v>
      </c>
      <c r="G17" s="33" t="s">
        <v>167</v>
      </c>
      <c r="H17" s="28"/>
      <c r="I17" s="28"/>
      <c r="J17" s="28"/>
      <c r="K17" s="28"/>
    </row>
    <row r="18" spans="2:11" x14ac:dyDescent="0.25">
      <c r="G18" s="33" t="s">
        <v>168</v>
      </c>
      <c r="H18" s="28"/>
      <c r="I18" s="28"/>
      <c r="J18" s="28"/>
      <c r="K18" s="28"/>
    </row>
    <row r="19" spans="2:11" x14ac:dyDescent="0.25">
      <c r="G19" s="33" t="s">
        <v>169</v>
      </c>
      <c r="H19" s="28"/>
      <c r="I19" s="28"/>
      <c r="J19" s="28"/>
      <c r="K19" s="28"/>
    </row>
    <row r="20" spans="2:11" x14ac:dyDescent="0.25">
      <c r="G20" s="33" t="s">
        <v>161</v>
      </c>
      <c r="H20" s="28"/>
      <c r="I20" s="28"/>
      <c r="J20" s="28"/>
      <c r="K20" s="28"/>
    </row>
    <row r="21" spans="2:11" x14ac:dyDescent="0.25">
      <c r="G21" s="33" t="s">
        <v>170</v>
      </c>
      <c r="H21" s="28"/>
      <c r="I21" s="28"/>
      <c r="J21" s="28"/>
      <c r="K21" s="28"/>
    </row>
    <row r="22" spans="2:11" x14ac:dyDescent="0.25">
      <c r="G22" s="33" t="s">
        <v>171</v>
      </c>
      <c r="H22" s="28"/>
      <c r="I22" s="28"/>
      <c r="J22" s="28"/>
      <c r="K22" s="28"/>
    </row>
    <row r="23" spans="2:11" x14ac:dyDescent="0.25">
      <c r="G23" s="33" t="s">
        <v>172</v>
      </c>
      <c r="H23" s="28"/>
      <c r="I23" s="28"/>
      <c r="J23" s="28"/>
      <c r="K23" s="28"/>
    </row>
    <row r="24" spans="2:11" x14ac:dyDescent="0.25">
      <c r="G24" s="33" t="s">
        <v>173</v>
      </c>
      <c r="H24" s="28"/>
      <c r="I24" s="28"/>
      <c r="J24" s="28"/>
      <c r="K24" s="28"/>
    </row>
    <row r="25" spans="2:11" x14ac:dyDescent="0.25">
      <c r="G25" s="33" t="s">
        <v>174</v>
      </c>
      <c r="H25" s="28"/>
      <c r="I25" s="28"/>
      <c r="J25" s="28"/>
      <c r="K25" s="28"/>
    </row>
    <row r="26" spans="2:11" x14ac:dyDescent="0.25">
      <c r="G26" s="33" t="s">
        <v>175</v>
      </c>
      <c r="H26" s="28"/>
      <c r="I26" s="28"/>
      <c r="J26" s="28"/>
      <c r="K26" s="28"/>
    </row>
    <row r="27" spans="2:11" x14ac:dyDescent="0.25">
      <c r="G27" s="33" t="s">
        <v>161</v>
      </c>
      <c r="H27" s="28"/>
      <c r="I27" s="28"/>
      <c r="J27" s="28"/>
      <c r="K27" s="28"/>
    </row>
    <row r="28" spans="2:11" x14ac:dyDescent="0.25">
      <c r="G28" s="33" t="s">
        <v>176</v>
      </c>
      <c r="H28" s="28"/>
      <c r="I28" s="28"/>
      <c r="J28" s="28"/>
      <c r="K28" s="28"/>
    </row>
    <row r="29" spans="2:11" x14ac:dyDescent="0.25">
      <c r="G29" s="33" t="s">
        <v>177</v>
      </c>
      <c r="H29" s="28"/>
      <c r="I29" s="28"/>
      <c r="J29" s="28"/>
      <c r="K29" s="28"/>
    </row>
    <row r="30" spans="2:11" x14ac:dyDescent="0.25">
      <c r="G30" s="33" t="s">
        <v>178</v>
      </c>
      <c r="H30" s="28"/>
      <c r="I30" s="28"/>
      <c r="J30" s="28"/>
      <c r="K30" s="28"/>
    </row>
    <row r="31" spans="2:11" x14ac:dyDescent="0.25">
      <c r="G31" s="33" t="s">
        <v>179</v>
      </c>
      <c r="H31" s="28"/>
      <c r="I31" s="28"/>
      <c r="J31" s="28"/>
      <c r="K31" s="28"/>
    </row>
  </sheetData>
  <mergeCells count="26">
    <mergeCell ref="G31:K31"/>
    <mergeCell ref="G22:K22"/>
    <mergeCell ref="G9:K9"/>
    <mergeCell ref="G28:K28"/>
    <mergeCell ref="G13:K13"/>
    <mergeCell ref="G19:K19"/>
    <mergeCell ref="G18:K18"/>
    <mergeCell ref="G30:K30"/>
    <mergeCell ref="G15:K15"/>
    <mergeCell ref="G24:K24"/>
    <mergeCell ref="G14:K14"/>
    <mergeCell ref="G26:K26"/>
    <mergeCell ref="G29:K29"/>
    <mergeCell ref="G20:K20"/>
    <mergeCell ref="G16:K16"/>
    <mergeCell ref="G25:K25"/>
    <mergeCell ref="G21:K21"/>
    <mergeCell ref="A3:K6"/>
    <mergeCell ref="G12:K12"/>
    <mergeCell ref="G11:K11"/>
    <mergeCell ref="G27:K27"/>
    <mergeCell ref="G23:K23"/>
    <mergeCell ref="G8:K8"/>
    <mergeCell ref="G17:K17"/>
    <mergeCell ref="G10:K10"/>
    <mergeCell ref="A8:E8"/>
  </mergeCells>
  <conditionalFormatting sqref="E10:E16">
    <cfRule type="expression" dxfId="1" priority="1">
      <formula>$E10="TARGET MET (Green)"</formula>
    </cfRule>
    <cfRule type="expression" dxfId="0" priority="2">
      <formula>$E10="SHORTFALL (Red)"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Regional Sales Pivot</vt:lpstr>
      <vt:lpstr>2. Category Trend Pivot</vt:lpstr>
      <vt:lpstr>3. Placement Grouping Pivot</vt:lpstr>
      <vt:lpstr>4. Inventory Slicer Dashboard</vt:lpstr>
      <vt:lpstr>5. Attendance Pivot Report</vt:lpstr>
      <vt:lpstr>6. VBA Macro Automation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Patil</cp:lastModifiedBy>
  <dcterms:created xsi:type="dcterms:W3CDTF">2026-07-29T16:07:37Z</dcterms:created>
  <dcterms:modified xsi:type="dcterms:W3CDTF">2026-07-29T16:23:04Z</dcterms:modified>
</cp:coreProperties>
</file>